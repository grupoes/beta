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JIRALY ES CONSULTORES\PROYECTO CANTUTA\"/>
    </mc:Choice>
  </mc:AlternateContent>
  <xr:revisionPtr revIDLastSave="0" documentId="8_{B420E5EA-EA63-4C3B-8617-4008F67E83FC}" xr6:coauthVersionLast="47" xr6:coauthVersionMax="47" xr10:uidLastSave="{00000000-0000-0000-0000-000000000000}"/>
  <bookViews>
    <workbookView xWindow="-120" yWindow="-120" windowWidth="20730" windowHeight="11160" xr2:uid="{93BED9C1-F741-4B64-B448-EDE03CDFC56E}"/>
  </bookViews>
  <sheets>
    <sheet name="AT" sheetId="1" r:id="rId1"/>
    <sheet name="AU" sheetId="2" r:id="rId2"/>
  </sheets>
  <definedNames>
    <definedName name="_xlnm._FilterDatabase" localSheetId="1" hidden="1">AU!$AH$1:$AL$184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14" i="2" l="1"/>
  <c r="AG30" i="2"/>
  <c r="AG6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2" i="2"/>
  <c r="AA2" i="2"/>
  <c r="AA7" i="2"/>
  <c r="AA8" i="2"/>
  <c r="AA9" i="2"/>
  <c r="AD9" i="2" s="1"/>
  <c r="AE9" i="2" s="1"/>
  <c r="AF9" i="2" s="1"/>
  <c r="AG9" i="2" s="1"/>
  <c r="AA10" i="2"/>
  <c r="AD10" i="2" s="1"/>
  <c r="AE10" i="2" s="1"/>
  <c r="AF10" i="2" s="1"/>
  <c r="AG10" i="2" s="1"/>
  <c r="AA11" i="2"/>
  <c r="AA12" i="2"/>
  <c r="AA13" i="2"/>
  <c r="AD13" i="2" s="1"/>
  <c r="AE13" i="2" s="1"/>
  <c r="AF13" i="2" s="1"/>
  <c r="AG13" i="2" s="1"/>
  <c r="AA14" i="2"/>
  <c r="AD14" i="2" s="1"/>
  <c r="AE14" i="2" s="1"/>
  <c r="AF14" i="2" s="1"/>
  <c r="AA15" i="2"/>
  <c r="AA16" i="2"/>
  <c r="AA17" i="2"/>
  <c r="AD17" i="2" s="1"/>
  <c r="AE17" i="2" s="1"/>
  <c r="AF17" i="2" s="1"/>
  <c r="AG17" i="2" s="1"/>
  <c r="AA18" i="2"/>
  <c r="AD18" i="2" s="1"/>
  <c r="AE18" i="2" s="1"/>
  <c r="AF18" i="2" s="1"/>
  <c r="AG18" i="2" s="1"/>
  <c r="AA19" i="2"/>
  <c r="AA20" i="2"/>
  <c r="AA21" i="2"/>
  <c r="AD21" i="2" s="1"/>
  <c r="AE21" i="2" s="1"/>
  <c r="AF21" i="2" s="1"/>
  <c r="AG21" i="2" s="1"/>
  <c r="AA22" i="2"/>
  <c r="AD22" i="2" s="1"/>
  <c r="AE22" i="2" s="1"/>
  <c r="AF22" i="2" s="1"/>
  <c r="AG22" i="2" s="1"/>
  <c r="AA23" i="2"/>
  <c r="AA24" i="2"/>
  <c r="AA25" i="2"/>
  <c r="AD25" i="2" s="1"/>
  <c r="AE25" i="2" s="1"/>
  <c r="AF25" i="2" s="1"/>
  <c r="AG25" i="2" s="1"/>
  <c r="AA26" i="2"/>
  <c r="AD26" i="2" s="1"/>
  <c r="AE26" i="2" s="1"/>
  <c r="AF26" i="2" s="1"/>
  <c r="AG26" i="2" s="1"/>
  <c r="AA27" i="2"/>
  <c r="AA28" i="2"/>
  <c r="AA29" i="2"/>
  <c r="AD29" i="2" s="1"/>
  <c r="AE29" i="2" s="1"/>
  <c r="AF29" i="2" s="1"/>
  <c r="AG29" i="2" s="1"/>
  <c r="AA30" i="2"/>
  <c r="AD30" i="2" s="1"/>
  <c r="AE30" i="2" s="1"/>
  <c r="AF30" i="2" s="1"/>
  <c r="AA31" i="2"/>
  <c r="AA32" i="2"/>
  <c r="AA33" i="2"/>
  <c r="AD33" i="2" s="1"/>
  <c r="AE33" i="2" s="1"/>
  <c r="AF33" i="2" s="1"/>
  <c r="AG33" i="2" s="1"/>
  <c r="AA34" i="2"/>
  <c r="AD34" i="2" s="1"/>
  <c r="AE34" i="2" s="1"/>
  <c r="AF34" i="2" s="1"/>
  <c r="AG34" i="2" s="1"/>
  <c r="AA35" i="2"/>
  <c r="AA36" i="2"/>
  <c r="AA37" i="2"/>
  <c r="AD37" i="2" s="1"/>
  <c r="AE37" i="2" s="1"/>
  <c r="AF37" i="2" s="1"/>
  <c r="AG37" i="2" s="1"/>
  <c r="AA38" i="2"/>
  <c r="AD38" i="2" s="1"/>
  <c r="AE38" i="2" s="1"/>
  <c r="AF38" i="2" s="1"/>
  <c r="AG38" i="2" s="1"/>
  <c r="AA39" i="2"/>
  <c r="AA40" i="2"/>
  <c r="AA41" i="2"/>
  <c r="AD41" i="2" s="1"/>
  <c r="AE41" i="2" s="1"/>
  <c r="AF41" i="2" s="1"/>
  <c r="AG41" i="2" s="1"/>
  <c r="AA42" i="2"/>
  <c r="AD42" i="2" s="1"/>
  <c r="AE42" i="2" s="1"/>
  <c r="AF42" i="2" s="1"/>
  <c r="AG42" i="2" s="1"/>
  <c r="AA43" i="2"/>
  <c r="AA44" i="2"/>
  <c r="AA45" i="2"/>
  <c r="AD45" i="2" s="1"/>
  <c r="AE45" i="2" s="1"/>
  <c r="AF45" i="2" s="1"/>
  <c r="AG45" i="2" s="1"/>
  <c r="AA46" i="2"/>
  <c r="AD46" i="2" s="1"/>
  <c r="AE46" i="2" s="1"/>
  <c r="AF46" i="2" s="1"/>
  <c r="AG46" i="2" s="1"/>
  <c r="AA47" i="2"/>
  <c r="AA48" i="2"/>
  <c r="AA49" i="2"/>
  <c r="AD49" i="2" s="1"/>
  <c r="AE49" i="2" s="1"/>
  <c r="AF49" i="2" s="1"/>
  <c r="AG49" i="2" s="1"/>
  <c r="AA50" i="2"/>
  <c r="AD50" i="2" s="1"/>
  <c r="AE50" i="2" s="1"/>
  <c r="AF50" i="2" s="1"/>
  <c r="AG50" i="2" s="1"/>
  <c r="AA51" i="2"/>
  <c r="AA52" i="2"/>
  <c r="AA53" i="2"/>
  <c r="AD53" i="2" s="1"/>
  <c r="AE53" i="2" s="1"/>
  <c r="AF53" i="2" s="1"/>
  <c r="AG53" i="2" s="1"/>
  <c r="AA54" i="2"/>
  <c r="AD54" i="2" s="1"/>
  <c r="AE54" i="2" s="1"/>
  <c r="AF54" i="2" s="1"/>
  <c r="AG54" i="2" s="1"/>
  <c r="AA55" i="2"/>
  <c r="AA56" i="2"/>
  <c r="AA57" i="2"/>
  <c r="AD57" i="2" s="1"/>
  <c r="AE57" i="2" s="1"/>
  <c r="AF57" i="2" s="1"/>
  <c r="AG57" i="2" s="1"/>
  <c r="AA58" i="2"/>
  <c r="AD58" i="2" s="1"/>
  <c r="AE58" i="2" s="1"/>
  <c r="AF58" i="2" s="1"/>
  <c r="AG58" i="2" s="1"/>
  <c r="AA59" i="2"/>
  <c r="AA60" i="2"/>
  <c r="AA61" i="2"/>
  <c r="AD61" i="2" s="1"/>
  <c r="AE61" i="2" s="1"/>
  <c r="AF61" i="2" s="1"/>
  <c r="AG61" i="2" s="1"/>
  <c r="AA62" i="2"/>
  <c r="AD62" i="2" s="1"/>
  <c r="AE62" i="2" s="1"/>
  <c r="AF62" i="2" s="1"/>
  <c r="AA63" i="2"/>
  <c r="AA64" i="2"/>
  <c r="AA65" i="2"/>
  <c r="AD65" i="2" s="1"/>
  <c r="AE65" i="2" s="1"/>
  <c r="AF65" i="2" s="1"/>
  <c r="AG65" i="2" s="1"/>
  <c r="AA66" i="2"/>
  <c r="AD66" i="2" s="1"/>
  <c r="AE66" i="2" s="1"/>
  <c r="AF66" i="2" s="1"/>
  <c r="AG66" i="2" s="1"/>
  <c r="AA67" i="2"/>
  <c r="AA68" i="2"/>
  <c r="AA69" i="2"/>
  <c r="AD69" i="2" s="1"/>
  <c r="AE69" i="2" s="1"/>
  <c r="AF69" i="2" s="1"/>
  <c r="AG69" i="2" s="1"/>
  <c r="AA70" i="2"/>
  <c r="AD70" i="2" s="1"/>
  <c r="AE70" i="2" s="1"/>
  <c r="AF70" i="2" s="1"/>
  <c r="AG70" i="2" s="1"/>
  <c r="AA71" i="2"/>
  <c r="AA72" i="2"/>
  <c r="AA73" i="2"/>
  <c r="AD73" i="2" s="1"/>
  <c r="AE73" i="2" s="1"/>
  <c r="AF73" i="2" s="1"/>
  <c r="AG73" i="2" s="1"/>
  <c r="AA74" i="2"/>
  <c r="AD74" i="2" s="1"/>
  <c r="AE74" i="2" s="1"/>
  <c r="AF74" i="2" s="1"/>
  <c r="AG74" i="2" s="1"/>
  <c r="AA75" i="2"/>
  <c r="AA76" i="2"/>
  <c r="AA77" i="2"/>
  <c r="AD77" i="2" s="1"/>
  <c r="AE77" i="2" s="1"/>
  <c r="AF77" i="2" s="1"/>
  <c r="AG77" i="2" s="1"/>
  <c r="AA78" i="2"/>
  <c r="AD78" i="2" s="1"/>
  <c r="AE78" i="2" s="1"/>
  <c r="AF78" i="2" s="1"/>
  <c r="AG78" i="2" s="1"/>
  <c r="AA79" i="2"/>
  <c r="AA80" i="2"/>
  <c r="AA81" i="2"/>
  <c r="AD81" i="2" s="1"/>
  <c r="AE81" i="2" s="1"/>
  <c r="AF81" i="2" s="1"/>
  <c r="AG81" i="2" s="1"/>
  <c r="AA82" i="2"/>
  <c r="AD82" i="2" s="1"/>
  <c r="AE82" i="2" s="1"/>
  <c r="AF82" i="2" s="1"/>
  <c r="AG82" i="2" s="1"/>
  <c r="AA83" i="2"/>
  <c r="AA84" i="2"/>
  <c r="AA85" i="2"/>
  <c r="AD85" i="2" s="1"/>
  <c r="AE85" i="2" s="1"/>
  <c r="AF85" i="2" s="1"/>
  <c r="AG85" i="2" s="1"/>
  <c r="AA86" i="2"/>
  <c r="AD86" i="2" s="1"/>
  <c r="AE86" i="2" s="1"/>
  <c r="AF86" i="2" s="1"/>
  <c r="AG86" i="2" s="1"/>
  <c r="AA87" i="2"/>
  <c r="AA88" i="2"/>
  <c r="AA89" i="2"/>
  <c r="AD89" i="2" s="1"/>
  <c r="AE89" i="2" s="1"/>
  <c r="AF89" i="2" s="1"/>
  <c r="AG89" i="2" s="1"/>
  <c r="AA90" i="2"/>
  <c r="AD90" i="2" s="1"/>
  <c r="AE90" i="2" s="1"/>
  <c r="AF90" i="2" s="1"/>
  <c r="AG90" i="2" s="1"/>
  <c r="AA91" i="2"/>
  <c r="AA92" i="2"/>
  <c r="AA93" i="2"/>
  <c r="AD93" i="2" s="1"/>
  <c r="AE93" i="2" s="1"/>
  <c r="AF93" i="2" s="1"/>
  <c r="AG93" i="2" s="1"/>
  <c r="AA94" i="2"/>
  <c r="AD94" i="2" s="1"/>
  <c r="AE94" i="2" s="1"/>
  <c r="AF94" i="2" s="1"/>
  <c r="AG94" i="2" s="1"/>
  <c r="AA95" i="2"/>
  <c r="AA96" i="2"/>
  <c r="AA97" i="2"/>
  <c r="AD97" i="2" s="1"/>
  <c r="AE97" i="2" s="1"/>
  <c r="AF97" i="2" s="1"/>
  <c r="AG97" i="2" s="1"/>
  <c r="AA98" i="2"/>
  <c r="AD98" i="2" s="1"/>
  <c r="AE98" i="2" s="1"/>
  <c r="AF98" i="2" s="1"/>
  <c r="AG98" i="2" s="1"/>
  <c r="AA99" i="2"/>
  <c r="AA100" i="2"/>
  <c r="AA101" i="2"/>
  <c r="AD101" i="2" s="1"/>
  <c r="AE101" i="2" s="1"/>
  <c r="AF101" i="2" s="1"/>
  <c r="AG101" i="2" s="1"/>
  <c r="AA102" i="2"/>
  <c r="AD102" i="2" s="1"/>
  <c r="AE102" i="2" s="1"/>
  <c r="AF102" i="2" s="1"/>
  <c r="AG102" i="2" s="1"/>
  <c r="AA103" i="2"/>
  <c r="AA104" i="2"/>
  <c r="AA105" i="2"/>
  <c r="AD105" i="2" s="1"/>
  <c r="AE105" i="2" s="1"/>
  <c r="AF105" i="2" s="1"/>
  <c r="AG105" i="2" s="1"/>
  <c r="AA106" i="2"/>
  <c r="AD106" i="2" s="1"/>
  <c r="AE106" i="2" s="1"/>
  <c r="AF106" i="2" s="1"/>
  <c r="AG106" i="2" s="1"/>
  <c r="AA107" i="2"/>
  <c r="AA108" i="2"/>
  <c r="AA109" i="2"/>
  <c r="AD109" i="2" s="1"/>
  <c r="AE109" i="2" s="1"/>
  <c r="AF109" i="2" s="1"/>
  <c r="AG109" i="2" s="1"/>
  <c r="AA110" i="2"/>
  <c r="AD110" i="2" s="1"/>
  <c r="AE110" i="2" s="1"/>
  <c r="AF110" i="2" s="1"/>
  <c r="AG110" i="2" s="1"/>
  <c r="AA111" i="2"/>
  <c r="AA112" i="2"/>
  <c r="AA113" i="2"/>
  <c r="AD113" i="2" s="1"/>
  <c r="AE113" i="2" s="1"/>
  <c r="AF113" i="2" s="1"/>
  <c r="AG113" i="2" s="1"/>
  <c r="AA114" i="2"/>
  <c r="AD114" i="2" s="1"/>
  <c r="AE114" i="2" s="1"/>
  <c r="AF114" i="2" s="1"/>
  <c r="AG114" i="2" s="1"/>
  <c r="AA115" i="2"/>
  <c r="AA116" i="2"/>
  <c r="AA117" i="2"/>
  <c r="AD117" i="2" s="1"/>
  <c r="AE117" i="2" s="1"/>
  <c r="AF117" i="2" s="1"/>
  <c r="AG117" i="2" s="1"/>
  <c r="AA118" i="2"/>
  <c r="AD118" i="2" s="1"/>
  <c r="AE118" i="2" s="1"/>
  <c r="AF118" i="2" s="1"/>
  <c r="AG118" i="2" s="1"/>
  <c r="AA119" i="2"/>
  <c r="AA120" i="2"/>
  <c r="AA121" i="2"/>
  <c r="AD121" i="2" s="1"/>
  <c r="AE121" i="2" s="1"/>
  <c r="AF121" i="2" s="1"/>
  <c r="AG121" i="2" s="1"/>
  <c r="AA122" i="2"/>
  <c r="AD122" i="2" s="1"/>
  <c r="AE122" i="2" s="1"/>
  <c r="AF122" i="2" s="1"/>
  <c r="AG122" i="2" s="1"/>
  <c r="AA123" i="2"/>
  <c r="AA124" i="2"/>
  <c r="AA125" i="2"/>
  <c r="AD125" i="2" s="1"/>
  <c r="AE125" i="2" s="1"/>
  <c r="AF125" i="2" s="1"/>
  <c r="AG125" i="2" s="1"/>
  <c r="AA126" i="2"/>
  <c r="AD126" i="2" s="1"/>
  <c r="AE126" i="2" s="1"/>
  <c r="AF126" i="2" s="1"/>
  <c r="AG126" i="2" s="1"/>
  <c r="AA127" i="2"/>
  <c r="AA128" i="2"/>
  <c r="AA129" i="2"/>
  <c r="AD129" i="2" s="1"/>
  <c r="AE129" i="2" s="1"/>
  <c r="AF129" i="2" s="1"/>
  <c r="AG129" i="2" s="1"/>
  <c r="AA130" i="2"/>
  <c r="AD130" i="2" s="1"/>
  <c r="AE130" i="2" s="1"/>
  <c r="AF130" i="2" s="1"/>
  <c r="AG130" i="2" s="1"/>
  <c r="AA131" i="2"/>
  <c r="AA132" i="2"/>
  <c r="AA133" i="2"/>
  <c r="AD133" i="2" s="1"/>
  <c r="AE133" i="2" s="1"/>
  <c r="AF133" i="2" s="1"/>
  <c r="AG133" i="2" s="1"/>
  <c r="AA134" i="2"/>
  <c r="AD134" i="2" s="1"/>
  <c r="AE134" i="2" s="1"/>
  <c r="AF134" i="2" s="1"/>
  <c r="AG134" i="2" s="1"/>
  <c r="AA135" i="2"/>
  <c r="AA136" i="2"/>
  <c r="AA137" i="2"/>
  <c r="AD137" i="2" s="1"/>
  <c r="AE137" i="2" s="1"/>
  <c r="AF137" i="2" s="1"/>
  <c r="AG137" i="2" s="1"/>
  <c r="AA138" i="2"/>
  <c r="AD138" i="2" s="1"/>
  <c r="AE138" i="2" s="1"/>
  <c r="AF138" i="2" s="1"/>
  <c r="AG138" i="2" s="1"/>
  <c r="AA139" i="2"/>
  <c r="AA140" i="2"/>
  <c r="AA141" i="2"/>
  <c r="AD141" i="2" s="1"/>
  <c r="AE141" i="2" s="1"/>
  <c r="AF141" i="2" s="1"/>
  <c r="AG141" i="2" s="1"/>
  <c r="AA142" i="2"/>
  <c r="AD142" i="2" s="1"/>
  <c r="AE142" i="2" s="1"/>
  <c r="AF142" i="2" s="1"/>
  <c r="AG142" i="2" s="1"/>
  <c r="AA143" i="2"/>
  <c r="AA144" i="2"/>
  <c r="AA145" i="2"/>
  <c r="AD145" i="2" s="1"/>
  <c r="AE145" i="2" s="1"/>
  <c r="AF145" i="2" s="1"/>
  <c r="AG145" i="2" s="1"/>
  <c r="AA146" i="2"/>
  <c r="AD146" i="2" s="1"/>
  <c r="AE146" i="2" s="1"/>
  <c r="AF146" i="2" s="1"/>
  <c r="AG146" i="2" s="1"/>
  <c r="AA147" i="2"/>
  <c r="AA148" i="2"/>
  <c r="AA149" i="2"/>
  <c r="AD149" i="2" s="1"/>
  <c r="AE149" i="2" s="1"/>
  <c r="AF149" i="2" s="1"/>
  <c r="AG149" i="2" s="1"/>
  <c r="AA150" i="2"/>
  <c r="AD150" i="2" s="1"/>
  <c r="AE150" i="2" s="1"/>
  <c r="AF150" i="2" s="1"/>
  <c r="AG150" i="2" s="1"/>
  <c r="AA151" i="2"/>
  <c r="AA152" i="2"/>
  <c r="AA153" i="2"/>
  <c r="AD153" i="2" s="1"/>
  <c r="AE153" i="2" s="1"/>
  <c r="AF153" i="2" s="1"/>
  <c r="AG153" i="2" s="1"/>
  <c r="AA154" i="2"/>
  <c r="AD154" i="2" s="1"/>
  <c r="AE154" i="2" s="1"/>
  <c r="AF154" i="2" s="1"/>
  <c r="AG154" i="2" s="1"/>
  <c r="AA155" i="2"/>
  <c r="AA156" i="2"/>
  <c r="AA157" i="2"/>
  <c r="AD157" i="2" s="1"/>
  <c r="AE157" i="2" s="1"/>
  <c r="AF157" i="2" s="1"/>
  <c r="AG157" i="2" s="1"/>
  <c r="AA158" i="2"/>
  <c r="AD158" i="2" s="1"/>
  <c r="AE158" i="2" s="1"/>
  <c r="AF158" i="2" s="1"/>
  <c r="AG158" i="2" s="1"/>
  <c r="AA159" i="2"/>
  <c r="AA160" i="2"/>
  <c r="AA161" i="2"/>
  <c r="AD161" i="2" s="1"/>
  <c r="AE161" i="2" s="1"/>
  <c r="AF161" i="2" s="1"/>
  <c r="AG161" i="2" s="1"/>
  <c r="AA162" i="2"/>
  <c r="AD162" i="2" s="1"/>
  <c r="AE162" i="2" s="1"/>
  <c r="AF162" i="2" s="1"/>
  <c r="AG162" i="2" s="1"/>
  <c r="AA163" i="2"/>
  <c r="AD163" i="2" s="1"/>
  <c r="AE163" i="2" s="1"/>
  <c r="AF163" i="2" s="1"/>
  <c r="AG163" i="2" s="1"/>
  <c r="AA164" i="2"/>
  <c r="AA165" i="2"/>
  <c r="AD165" i="2" s="1"/>
  <c r="AE165" i="2" s="1"/>
  <c r="AF165" i="2" s="1"/>
  <c r="AG165" i="2" s="1"/>
  <c r="AA166" i="2"/>
  <c r="AD166" i="2" s="1"/>
  <c r="AE166" i="2" s="1"/>
  <c r="AF166" i="2" s="1"/>
  <c r="AG166" i="2" s="1"/>
  <c r="AA167" i="2"/>
  <c r="AD167" i="2" s="1"/>
  <c r="AE167" i="2" s="1"/>
  <c r="AF167" i="2" s="1"/>
  <c r="AG167" i="2" s="1"/>
  <c r="AA168" i="2"/>
  <c r="AA169" i="2"/>
  <c r="AD169" i="2" s="1"/>
  <c r="AE169" i="2" s="1"/>
  <c r="AF169" i="2" s="1"/>
  <c r="AG169" i="2" s="1"/>
  <c r="AA170" i="2"/>
  <c r="AD170" i="2" s="1"/>
  <c r="AE170" i="2" s="1"/>
  <c r="AF170" i="2" s="1"/>
  <c r="AG170" i="2" s="1"/>
  <c r="AA171" i="2"/>
  <c r="AD171" i="2" s="1"/>
  <c r="AE171" i="2" s="1"/>
  <c r="AF171" i="2" s="1"/>
  <c r="AG171" i="2" s="1"/>
  <c r="AA172" i="2"/>
  <c r="AA173" i="2"/>
  <c r="AD173" i="2" s="1"/>
  <c r="AE173" i="2" s="1"/>
  <c r="AF173" i="2" s="1"/>
  <c r="AG173" i="2" s="1"/>
  <c r="AA174" i="2"/>
  <c r="AD174" i="2" s="1"/>
  <c r="AE174" i="2" s="1"/>
  <c r="AF174" i="2" s="1"/>
  <c r="AG174" i="2" s="1"/>
  <c r="AA175" i="2"/>
  <c r="AD175" i="2" s="1"/>
  <c r="AE175" i="2" s="1"/>
  <c r="AF175" i="2" s="1"/>
  <c r="AG175" i="2" s="1"/>
  <c r="AA176" i="2"/>
  <c r="AA177" i="2"/>
  <c r="AD177" i="2" s="1"/>
  <c r="AE177" i="2" s="1"/>
  <c r="AF177" i="2" s="1"/>
  <c r="AG177" i="2" s="1"/>
  <c r="AA178" i="2"/>
  <c r="AD178" i="2" s="1"/>
  <c r="AE178" i="2" s="1"/>
  <c r="AF178" i="2" s="1"/>
  <c r="AG178" i="2" s="1"/>
  <c r="AA179" i="2"/>
  <c r="AD179" i="2" s="1"/>
  <c r="AE179" i="2" s="1"/>
  <c r="AF179" i="2" s="1"/>
  <c r="AG179" i="2" s="1"/>
  <c r="AA180" i="2"/>
  <c r="AA181" i="2"/>
  <c r="AD181" i="2" s="1"/>
  <c r="AE181" i="2" s="1"/>
  <c r="AF181" i="2" s="1"/>
  <c r="AG181" i="2" s="1"/>
  <c r="AA182" i="2"/>
  <c r="AD182" i="2" s="1"/>
  <c r="AE182" i="2" s="1"/>
  <c r="AF182" i="2" s="1"/>
  <c r="AG182" i="2" s="1"/>
  <c r="AA183" i="2"/>
  <c r="AD183" i="2" s="1"/>
  <c r="AE183" i="2" s="1"/>
  <c r="AF183" i="2" s="1"/>
  <c r="AG183" i="2" s="1"/>
  <c r="AA184" i="2"/>
  <c r="AA3" i="2"/>
  <c r="AA4" i="2"/>
  <c r="AA5" i="2"/>
  <c r="AD5" i="2" s="1"/>
  <c r="AE5" i="2" s="1"/>
  <c r="AF5" i="2" s="1"/>
  <c r="AG5" i="2" s="1"/>
  <c r="AA6" i="2"/>
  <c r="AF56" i="1"/>
  <c r="AF79" i="1"/>
  <c r="AF84" i="1"/>
  <c r="AF95" i="1"/>
  <c r="AF111" i="1"/>
  <c r="AF127" i="1"/>
  <c r="AF139" i="1"/>
  <c r="AF160" i="1"/>
  <c r="AF179" i="1"/>
  <c r="AF180" i="1"/>
  <c r="AE3" i="1"/>
  <c r="AF3" i="1" s="1"/>
  <c r="AE6" i="1"/>
  <c r="AF6" i="1" s="1"/>
  <c r="AE11" i="1"/>
  <c r="AF11" i="1" s="1"/>
  <c r="AE14" i="1"/>
  <c r="AF14" i="1" s="1"/>
  <c r="AE18" i="1"/>
  <c r="AF18" i="1" s="1"/>
  <c r="AE19" i="1"/>
  <c r="AF19" i="1" s="1"/>
  <c r="AE22" i="1"/>
  <c r="AF22" i="1" s="1"/>
  <c r="AE27" i="1"/>
  <c r="AF27" i="1" s="1"/>
  <c r="AE30" i="1"/>
  <c r="AF30" i="1" s="1"/>
  <c r="AE34" i="1"/>
  <c r="AF34" i="1" s="1"/>
  <c r="AE38" i="1"/>
  <c r="AF38" i="1" s="1"/>
  <c r="AE39" i="1"/>
  <c r="AF39" i="1" s="1"/>
  <c r="AE46" i="1"/>
  <c r="AF46" i="1" s="1"/>
  <c r="AE50" i="1"/>
  <c r="AF50" i="1" s="1"/>
  <c r="AE54" i="1"/>
  <c r="AF54" i="1" s="1"/>
  <c r="AE55" i="1"/>
  <c r="AF55" i="1" s="1"/>
  <c r="AE62" i="1"/>
  <c r="AF62" i="1" s="1"/>
  <c r="AE66" i="1"/>
  <c r="AF66" i="1" s="1"/>
  <c r="AE67" i="1"/>
  <c r="AF67" i="1" s="1"/>
  <c r="AE70" i="1"/>
  <c r="AF70" i="1" s="1"/>
  <c r="AE75" i="1"/>
  <c r="AF75" i="1" s="1"/>
  <c r="AE78" i="1"/>
  <c r="AF78" i="1" s="1"/>
  <c r="AE82" i="1"/>
  <c r="AF82" i="1" s="1"/>
  <c r="AE83" i="1"/>
  <c r="AF83" i="1" s="1"/>
  <c r="AE86" i="1"/>
  <c r="AF86" i="1" s="1"/>
  <c r="AE91" i="1"/>
  <c r="AF91" i="1" s="1"/>
  <c r="AE94" i="1"/>
  <c r="AF94" i="1" s="1"/>
  <c r="AE98" i="1"/>
  <c r="AF98" i="1" s="1"/>
  <c r="AE102" i="1"/>
  <c r="AF102" i="1" s="1"/>
  <c r="AE103" i="1"/>
  <c r="AF103" i="1" s="1"/>
  <c r="AE110" i="1"/>
  <c r="AF110" i="1" s="1"/>
  <c r="AE114" i="1"/>
  <c r="AF114" i="1" s="1"/>
  <c r="AE118" i="1"/>
  <c r="AF118" i="1" s="1"/>
  <c r="AE119" i="1"/>
  <c r="AF119" i="1" s="1"/>
  <c r="AE126" i="1"/>
  <c r="AF126" i="1" s="1"/>
  <c r="AE130" i="1"/>
  <c r="AF130" i="1" s="1"/>
  <c r="AE131" i="1"/>
  <c r="AF131" i="1" s="1"/>
  <c r="AE134" i="1"/>
  <c r="AF134" i="1" s="1"/>
  <c r="AE139" i="1"/>
  <c r="AE142" i="1"/>
  <c r="AF142" i="1" s="1"/>
  <c r="AE146" i="1"/>
  <c r="AF146" i="1" s="1"/>
  <c r="AE147" i="1"/>
  <c r="AF147" i="1" s="1"/>
  <c r="AE150" i="1"/>
  <c r="AF150" i="1" s="1"/>
  <c r="AE155" i="1"/>
  <c r="AF155" i="1" s="1"/>
  <c r="AE158" i="1"/>
  <c r="AF158" i="1" s="1"/>
  <c r="AE162" i="1"/>
  <c r="AF162" i="1" s="1"/>
  <c r="AE166" i="1"/>
  <c r="AF166" i="1" s="1"/>
  <c r="AE167" i="1"/>
  <c r="AF167" i="1" s="1"/>
  <c r="AE174" i="1"/>
  <c r="AF174" i="1" s="1"/>
  <c r="AE178" i="1"/>
  <c r="AF178" i="1" s="1"/>
  <c r="AE182" i="1"/>
  <c r="AF182" i="1" s="1"/>
  <c r="AE183" i="1"/>
  <c r="AF183" i="1" s="1"/>
  <c r="AD3" i="1"/>
  <c r="AD4" i="1"/>
  <c r="AE4" i="1" s="1"/>
  <c r="AF4" i="1" s="1"/>
  <c r="AD5" i="1"/>
  <c r="AE5" i="1" s="1"/>
  <c r="AF5" i="1" s="1"/>
  <c r="AD6" i="1"/>
  <c r="AD7" i="1"/>
  <c r="AE7" i="1" s="1"/>
  <c r="AF7" i="1" s="1"/>
  <c r="AD8" i="1"/>
  <c r="AE8" i="1" s="1"/>
  <c r="AF8" i="1" s="1"/>
  <c r="AD9" i="1"/>
  <c r="AE9" i="1" s="1"/>
  <c r="AF9" i="1" s="1"/>
  <c r="AD10" i="1"/>
  <c r="AE10" i="1" s="1"/>
  <c r="AF10" i="1" s="1"/>
  <c r="AD11" i="1"/>
  <c r="AD12" i="1"/>
  <c r="AE12" i="1" s="1"/>
  <c r="AF12" i="1" s="1"/>
  <c r="AD13" i="1"/>
  <c r="AE13" i="1" s="1"/>
  <c r="AF13" i="1" s="1"/>
  <c r="AD14" i="1"/>
  <c r="AD15" i="1"/>
  <c r="AE15" i="1" s="1"/>
  <c r="AF15" i="1" s="1"/>
  <c r="AD16" i="1"/>
  <c r="AE16" i="1" s="1"/>
  <c r="AF16" i="1" s="1"/>
  <c r="AD17" i="1"/>
  <c r="AE17" i="1" s="1"/>
  <c r="AF17" i="1" s="1"/>
  <c r="AD18" i="1"/>
  <c r="AD19" i="1"/>
  <c r="AD20" i="1"/>
  <c r="AE20" i="1" s="1"/>
  <c r="AF20" i="1" s="1"/>
  <c r="AD21" i="1"/>
  <c r="AE21" i="1" s="1"/>
  <c r="AF21" i="1" s="1"/>
  <c r="AD22" i="1"/>
  <c r="AD23" i="1"/>
  <c r="AE23" i="1" s="1"/>
  <c r="AF23" i="1" s="1"/>
  <c r="AD24" i="1"/>
  <c r="AE24" i="1" s="1"/>
  <c r="AF24" i="1" s="1"/>
  <c r="AD25" i="1"/>
  <c r="AE25" i="1" s="1"/>
  <c r="AF25" i="1" s="1"/>
  <c r="AD26" i="1"/>
  <c r="AE26" i="1" s="1"/>
  <c r="AF26" i="1" s="1"/>
  <c r="AD27" i="1"/>
  <c r="AD28" i="1"/>
  <c r="AE28" i="1" s="1"/>
  <c r="AF28" i="1" s="1"/>
  <c r="AD29" i="1"/>
  <c r="AE29" i="1" s="1"/>
  <c r="AF29" i="1" s="1"/>
  <c r="AD30" i="1"/>
  <c r="AD31" i="1"/>
  <c r="AE31" i="1" s="1"/>
  <c r="AF31" i="1" s="1"/>
  <c r="AD32" i="1"/>
  <c r="AE32" i="1" s="1"/>
  <c r="AF32" i="1" s="1"/>
  <c r="AD33" i="1"/>
  <c r="AE33" i="1" s="1"/>
  <c r="AF33" i="1" s="1"/>
  <c r="AD34" i="1"/>
  <c r="AD35" i="1"/>
  <c r="AE35" i="1" s="1"/>
  <c r="AF35" i="1" s="1"/>
  <c r="AD36" i="1"/>
  <c r="AE36" i="1" s="1"/>
  <c r="AF36" i="1" s="1"/>
  <c r="AD37" i="1"/>
  <c r="AE37" i="1" s="1"/>
  <c r="AF37" i="1" s="1"/>
  <c r="AD38" i="1"/>
  <c r="AD39" i="1"/>
  <c r="AD40" i="1"/>
  <c r="AE40" i="1" s="1"/>
  <c r="AF40" i="1" s="1"/>
  <c r="AD41" i="1"/>
  <c r="AE41" i="1" s="1"/>
  <c r="AF41" i="1" s="1"/>
  <c r="AD42" i="1"/>
  <c r="AE42" i="1" s="1"/>
  <c r="AF42" i="1" s="1"/>
  <c r="AD43" i="1"/>
  <c r="AE43" i="1" s="1"/>
  <c r="AF43" i="1" s="1"/>
  <c r="AD44" i="1"/>
  <c r="AE44" i="1" s="1"/>
  <c r="AF44" i="1" s="1"/>
  <c r="AD45" i="1"/>
  <c r="AE45" i="1" s="1"/>
  <c r="AF45" i="1" s="1"/>
  <c r="AD46" i="1"/>
  <c r="AD47" i="1"/>
  <c r="AE47" i="1" s="1"/>
  <c r="AF47" i="1" s="1"/>
  <c r="AD48" i="1"/>
  <c r="AE48" i="1" s="1"/>
  <c r="AF48" i="1" s="1"/>
  <c r="AD49" i="1"/>
  <c r="AE49" i="1" s="1"/>
  <c r="AF49" i="1" s="1"/>
  <c r="AD50" i="1"/>
  <c r="AD51" i="1"/>
  <c r="AE51" i="1" s="1"/>
  <c r="AF51" i="1" s="1"/>
  <c r="AD52" i="1"/>
  <c r="AE52" i="1" s="1"/>
  <c r="AF52" i="1" s="1"/>
  <c r="AD53" i="1"/>
  <c r="AE53" i="1" s="1"/>
  <c r="AF53" i="1" s="1"/>
  <c r="AD54" i="1"/>
  <c r="AD55" i="1"/>
  <c r="AD56" i="1"/>
  <c r="AE56" i="1" s="1"/>
  <c r="AD57" i="1"/>
  <c r="AE57" i="1" s="1"/>
  <c r="AF57" i="1" s="1"/>
  <c r="AD58" i="1"/>
  <c r="AE58" i="1" s="1"/>
  <c r="AF58" i="1" s="1"/>
  <c r="AD59" i="1"/>
  <c r="AE59" i="1" s="1"/>
  <c r="AF59" i="1" s="1"/>
  <c r="AD60" i="1"/>
  <c r="AE60" i="1" s="1"/>
  <c r="AF60" i="1" s="1"/>
  <c r="AD61" i="1"/>
  <c r="AE61" i="1" s="1"/>
  <c r="AF61" i="1" s="1"/>
  <c r="AD62" i="1"/>
  <c r="AD63" i="1"/>
  <c r="AE63" i="1" s="1"/>
  <c r="AF63" i="1" s="1"/>
  <c r="AD64" i="1"/>
  <c r="AE64" i="1" s="1"/>
  <c r="AF64" i="1" s="1"/>
  <c r="AD65" i="1"/>
  <c r="AE65" i="1" s="1"/>
  <c r="AF65" i="1" s="1"/>
  <c r="AD66" i="1"/>
  <c r="AD67" i="1"/>
  <c r="AD68" i="1"/>
  <c r="AE68" i="1" s="1"/>
  <c r="AF68" i="1" s="1"/>
  <c r="AD69" i="1"/>
  <c r="AE69" i="1" s="1"/>
  <c r="AF69" i="1" s="1"/>
  <c r="AD70" i="1"/>
  <c r="AD71" i="1"/>
  <c r="AE71" i="1" s="1"/>
  <c r="AF71" i="1" s="1"/>
  <c r="AD72" i="1"/>
  <c r="AE72" i="1" s="1"/>
  <c r="AF72" i="1" s="1"/>
  <c r="AD73" i="1"/>
  <c r="AE73" i="1" s="1"/>
  <c r="AF73" i="1" s="1"/>
  <c r="AD74" i="1"/>
  <c r="AE74" i="1" s="1"/>
  <c r="AF74" i="1" s="1"/>
  <c r="AD75" i="1"/>
  <c r="AD76" i="1"/>
  <c r="AE76" i="1" s="1"/>
  <c r="AF76" i="1" s="1"/>
  <c r="AD77" i="1"/>
  <c r="AE77" i="1" s="1"/>
  <c r="AF77" i="1" s="1"/>
  <c r="AD78" i="1"/>
  <c r="AD79" i="1"/>
  <c r="AE79" i="1" s="1"/>
  <c r="AD80" i="1"/>
  <c r="AE80" i="1" s="1"/>
  <c r="AF80" i="1" s="1"/>
  <c r="AD81" i="1"/>
  <c r="AE81" i="1" s="1"/>
  <c r="AF81" i="1" s="1"/>
  <c r="AD82" i="1"/>
  <c r="AD83" i="1"/>
  <c r="AD84" i="1"/>
  <c r="AE84" i="1" s="1"/>
  <c r="AD85" i="1"/>
  <c r="AE85" i="1" s="1"/>
  <c r="AF85" i="1" s="1"/>
  <c r="AD86" i="1"/>
  <c r="AD87" i="1"/>
  <c r="AE87" i="1" s="1"/>
  <c r="AF87" i="1" s="1"/>
  <c r="AD88" i="1"/>
  <c r="AE88" i="1" s="1"/>
  <c r="AF88" i="1" s="1"/>
  <c r="AD89" i="1"/>
  <c r="AE89" i="1" s="1"/>
  <c r="AF89" i="1" s="1"/>
  <c r="AD90" i="1"/>
  <c r="AE90" i="1" s="1"/>
  <c r="AF90" i="1" s="1"/>
  <c r="AD91" i="1"/>
  <c r="AD92" i="1"/>
  <c r="AE92" i="1" s="1"/>
  <c r="AF92" i="1" s="1"/>
  <c r="AD93" i="1"/>
  <c r="AE93" i="1" s="1"/>
  <c r="AF93" i="1" s="1"/>
  <c r="AD94" i="1"/>
  <c r="AD95" i="1"/>
  <c r="AE95" i="1" s="1"/>
  <c r="AD96" i="1"/>
  <c r="AE96" i="1" s="1"/>
  <c r="AF96" i="1" s="1"/>
  <c r="AD97" i="1"/>
  <c r="AE97" i="1" s="1"/>
  <c r="AF97" i="1" s="1"/>
  <c r="AD98" i="1"/>
  <c r="AD99" i="1"/>
  <c r="AE99" i="1" s="1"/>
  <c r="AF99" i="1" s="1"/>
  <c r="AD100" i="1"/>
  <c r="AE100" i="1" s="1"/>
  <c r="AF100" i="1" s="1"/>
  <c r="AD101" i="1"/>
  <c r="AE101" i="1" s="1"/>
  <c r="AF101" i="1" s="1"/>
  <c r="AD102" i="1"/>
  <c r="AD103" i="1"/>
  <c r="AD104" i="1"/>
  <c r="AE104" i="1" s="1"/>
  <c r="AF104" i="1" s="1"/>
  <c r="AD105" i="1"/>
  <c r="AE105" i="1" s="1"/>
  <c r="AF105" i="1" s="1"/>
  <c r="AD106" i="1"/>
  <c r="AE106" i="1" s="1"/>
  <c r="AF106" i="1" s="1"/>
  <c r="AD107" i="1"/>
  <c r="AE107" i="1" s="1"/>
  <c r="AF107" i="1" s="1"/>
  <c r="AD108" i="1"/>
  <c r="AE108" i="1" s="1"/>
  <c r="AF108" i="1" s="1"/>
  <c r="AD109" i="1"/>
  <c r="AE109" i="1" s="1"/>
  <c r="AF109" i="1" s="1"/>
  <c r="AD110" i="1"/>
  <c r="AD111" i="1"/>
  <c r="AE111" i="1" s="1"/>
  <c r="AD112" i="1"/>
  <c r="AE112" i="1" s="1"/>
  <c r="AF112" i="1" s="1"/>
  <c r="AD113" i="1"/>
  <c r="AE113" i="1" s="1"/>
  <c r="AF113" i="1" s="1"/>
  <c r="AD114" i="1"/>
  <c r="AD115" i="1"/>
  <c r="AE115" i="1" s="1"/>
  <c r="AF115" i="1" s="1"/>
  <c r="AD116" i="1"/>
  <c r="AE116" i="1" s="1"/>
  <c r="AF116" i="1" s="1"/>
  <c r="AD117" i="1"/>
  <c r="AE117" i="1" s="1"/>
  <c r="AF117" i="1" s="1"/>
  <c r="AD118" i="1"/>
  <c r="AD119" i="1"/>
  <c r="AD120" i="1"/>
  <c r="AE120" i="1" s="1"/>
  <c r="AF120" i="1" s="1"/>
  <c r="AD121" i="1"/>
  <c r="AE121" i="1" s="1"/>
  <c r="AF121" i="1" s="1"/>
  <c r="AD122" i="1"/>
  <c r="AE122" i="1" s="1"/>
  <c r="AF122" i="1" s="1"/>
  <c r="AD123" i="1"/>
  <c r="AE123" i="1" s="1"/>
  <c r="AF123" i="1" s="1"/>
  <c r="AD124" i="1"/>
  <c r="AE124" i="1" s="1"/>
  <c r="AF124" i="1" s="1"/>
  <c r="AD125" i="1"/>
  <c r="AE125" i="1" s="1"/>
  <c r="AF125" i="1" s="1"/>
  <c r="AD126" i="1"/>
  <c r="AD127" i="1"/>
  <c r="AE127" i="1" s="1"/>
  <c r="AD128" i="1"/>
  <c r="AE128" i="1" s="1"/>
  <c r="AF128" i="1" s="1"/>
  <c r="AD129" i="1"/>
  <c r="AE129" i="1" s="1"/>
  <c r="AF129" i="1" s="1"/>
  <c r="AD130" i="1"/>
  <c r="AD131" i="1"/>
  <c r="AD132" i="1"/>
  <c r="AE132" i="1" s="1"/>
  <c r="AF132" i="1" s="1"/>
  <c r="AD133" i="1"/>
  <c r="AE133" i="1" s="1"/>
  <c r="AF133" i="1" s="1"/>
  <c r="AD134" i="1"/>
  <c r="AD135" i="1"/>
  <c r="AE135" i="1" s="1"/>
  <c r="AF135" i="1" s="1"/>
  <c r="AD136" i="1"/>
  <c r="AE136" i="1" s="1"/>
  <c r="AF136" i="1" s="1"/>
  <c r="AD137" i="1"/>
  <c r="AE137" i="1" s="1"/>
  <c r="AF137" i="1" s="1"/>
  <c r="AD138" i="1"/>
  <c r="AE138" i="1" s="1"/>
  <c r="AF138" i="1" s="1"/>
  <c r="AD139" i="1"/>
  <c r="AD140" i="1"/>
  <c r="AE140" i="1" s="1"/>
  <c r="AF140" i="1" s="1"/>
  <c r="AD141" i="1"/>
  <c r="AE141" i="1" s="1"/>
  <c r="AF141" i="1" s="1"/>
  <c r="AD142" i="1"/>
  <c r="AD143" i="1"/>
  <c r="AE143" i="1" s="1"/>
  <c r="AF143" i="1" s="1"/>
  <c r="AD144" i="1"/>
  <c r="AE144" i="1" s="1"/>
  <c r="AF144" i="1" s="1"/>
  <c r="AD145" i="1"/>
  <c r="AE145" i="1" s="1"/>
  <c r="AF145" i="1" s="1"/>
  <c r="AD146" i="1"/>
  <c r="AD147" i="1"/>
  <c r="AD148" i="1"/>
  <c r="AE148" i="1" s="1"/>
  <c r="AF148" i="1" s="1"/>
  <c r="AD149" i="1"/>
  <c r="AE149" i="1" s="1"/>
  <c r="AF149" i="1" s="1"/>
  <c r="AD150" i="1"/>
  <c r="AD151" i="1"/>
  <c r="AE151" i="1" s="1"/>
  <c r="AF151" i="1" s="1"/>
  <c r="AD152" i="1"/>
  <c r="AE152" i="1" s="1"/>
  <c r="AF152" i="1" s="1"/>
  <c r="AD153" i="1"/>
  <c r="AE153" i="1" s="1"/>
  <c r="AF153" i="1" s="1"/>
  <c r="AD154" i="1"/>
  <c r="AE154" i="1" s="1"/>
  <c r="AF154" i="1" s="1"/>
  <c r="AD155" i="1"/>
  <c r="AD156" i="1"/>
  <c r="AE156" i="1" s="1"/>
  <c r="AF156" i="1" s="1"/>
  <c r="AD157" i="1"/>
  <c r="AE157" i="1" s="1"/>
  <c r="AF157" i="1" s="1"/>
  <c r="AD158" i="1"/>
  <c r="AD159" i="1"/>
  <c r="AE159" i="1" s="1"/>
  <c r="AF159" i="1" s="1"/>
  <c r="AD160" i="1"/>
  <c r="AE160" i="1" s="1"/>
  <c r="AD161" i="1"/>
  <c r="AE161" i="1" s="1"/>
  <c r="AF161" i="1" s="1"/>
  <c r="AD162" i="1"/>
  <c r="AD163" i="1"/>
  <c r="AE163" i="1" s="1"/>
  <c r="AF163" i="1" s="1"/>
  <c r="AD164" i="1"/>
  <c r="AE164" i="1" s="1"/>
  <c r="AF164" i="1" s="1"/>
  <c r="AD165" i="1"/>
  <c r="AE165" i="1" s="1"/>
  <c r="AF165" i="1" s="1"/>
  <c r="AD166" i="1"/>
  <c r="AD167" i="1"/>
  <c r="AD168" i="1"/>
  <c r="AE168" i="1" s="1"/>
  <c r="AF168" i="1" s="1"/>
  <c r="AD169" i="1"/>
  <c r="AE169" i="1" s="1"/>
  <c r="AF169" i="1" s="1"/>
  <c r="AD170" i="1"/>
  <c r="AE170" i="1" s="1"/>
  <c r="AF170" i="1" s="1"/>
  <c r="AD171" i="1"/>
  <c r="AE171" i="1" s="1"/>
  <c r="AF171" i="1" s="1"/>
  <c r="AD172" i="1"/>
  <c r="AE172" i="1" s="1"/>
  <c r="AF172" i="1" s="1"/>
  <c r="AD173" i="1"/>
  <c r="AE173" i="1" s="1"/>
  <c r="AF173" i="1" s="1"/>
  <c r="AD174" i="1"/>
  <c r="AD175" i="1"/>
  <c r="AE175" i="1" s="1"/>
  <c r="AF175" i="1" s="1"/>
  <c r="AD176" i="1"/>
  <c r="AE176" i="1" s="1"/>
  <c r="AF176" i="1" s="1"/>
  <c r="AD177" i="1"/>
  <c r="AE177" i="1" s="1"/>
  <c r="AF177" i="1" s="1"/>
  <c r="AD178" i="1"/>
  <c r="AD179" i="1"/>
  <c r="AE179" i="1" s="1"/>
  <c r="AD180" i="1"/>
  <c r="AE180" i="1" s="1"/>
  <c r="AD181" i="1"/>
  <c r="AE181" i="1" s="1"/>
  <c r="AF181" i="1" s="1"/>
  <c r="AD182" i="1"/>
  <c r="AD183" i="1"/>
  <c r="AD184" i="1"/>
  <c r="AE184" i="1" s="1"/>
  <c r="AF184" i="1" s="1"/>
  <c r="AD2" i="1"/>
  <c r="AE2" i="1" s="1"/>
  <c r="AF2" i="1" s="1"/>
  <c r="AC10" i="1"/>
  <c r="AC16" i="1"/>
  <c r="AC43" i="1"/>
  <c r="AC58" i="1"/>
  <c r="AC59" i="1"/>
  <c r="AC74" i="1"/>
  <c r="AC86" i="1"/>
  <c r="AC102" i="1"/>
  <c r="AC114" i="1"/>
  <c r="AC130" i="1"/>
  <c r="AC171" i="1"/>
  <c r="AB7" i="1"/>
  <c r="AC7" i="1" s="1"/>
  <c r="AB19" i="1"/>
  <c r="AC19" i="1" s="1"/>
  <c r="AB20" i="1"/>
  <c r="AC20" i="1" s="1"/>
  <c r="AB28" i="1"/>
  <c r="AC28" i="1" s="1"/>
  <c r="AB35" i="1"/>
  <c r="AC35" i="1" s="1"/>
  <c r="AB47" i="1"/>
  <c r="AC47" i="1" s="1"/>
  <c r="AB55" i="1"/>
  <c r="AC55" i="1" s="1"/>
  <c r="AB56" i="1"/>
  <c r="AC56" i="1" s="1"/>
  <c r="AB63" i="1"/>
  <c r="AC63" i="1" s="1"/>
  <c r="AB71" i="1"/>
  <c r="AC71" i="1" s="1"/>
  <c r="AB83" i="1"/>
  <c r="AC83" i="1" s="1"/>
  <c r="AB84" i="1"/>
  <c r="AC84" i="1" s="1"/>
  <c r="AB92" i="1"/>
  <c r="AC92" i="1" s="1"/>
  <c r="AB99" i="1"/>
  <c r="AC99" i="1" s="1"/>
  <c r="AB111" i="1"/>
  <c r="AC111" i="1" s="1"/>
  <c r="AB119" i="1"/>
  <c r="AC119" i="1" s="1"/>
  <c r="AB120" i="1"/>
  <c r="AC120" i="1" s="1"/>
  <c r="AB127" i="1"/>
  <c r="AC127" i="1" s="1"/>
  <c r="AB135" i="1"/>
  <c r="AC135" i="1" s="1"/>
  <c r="AB147" i="1"/>
  <c r="AC147" i="1" s="1"/>
  <c r="AB151" i="1"/>
  <c r="AC151" i="1" s="1"/>
  <c r="AB152" i="1"/>
  <c r="AC152" i="1" s="1"/>
  <c r="AB163" i="1"/>
  <c r="AC163" i="1" s="1"/>
  <c r="AB167" i="1"/>
  <c r="AC167" i="1" s="1"/>
  <c r="AB168" i="1"/>
  <c r="AC168" i="1" s="1"/>
  <c r="AB171" i="1"/>
  <c r="AB172" i="1"/>
  <c r="AC172" i="1" s="1"/>
  <c r="AB175" i="1"/>
  <c r="AC175" i="1" s="1"/>
  <c r="AB176" i="1"/>
  <c r="AC176" i="1" s="1"/>
  <c r="AB179" i="1"/>
  <c r="AC179" i="1" s="1"/>
  <c r="AB180" i="1"/>
  <c r="AC180" i="1" s="1"/>
  <c r="AB183" i="1"/>
  <c r="AC183" i="1" s="1"/>
  <c r="AB184" i="1"/>
  <c r="AC184" i="1" s="1"/>
  <c r="AA3" i="1"/>
  <c r="AB3" i="1" s="1"/>
  <c r="AC3" i="1" s="1"/>
  <c r="AA4" i="1"/>
  <c r="AB4" i="1" s="1"/>
  <c r="AC4" i="1" s="1"/>
  <c r="AA5" i="1"/>
  <c r="AB5" i="1" s="1"/>
  <c r="AC5" i="1" s="1"/>
  <c r="AA6" i="1"/>
  <c r="AB6" i="1" s="1"/>
  <c r="AC6" i="1" s="1"/>
  <c r="AA7" i="1"/>
  <c r="AA8" i="1"/>
  <c r="AB8" i="1" s="1"/>
  <c r="AC8" i="1" s="1"/>
  <c r="AA9" i="1"/>
  <c r="AB9" i="1" s="1"/>
  <c r="AC9" i="1" s="1"/>
  <c r="AA10" i="1"/>
  <c r="AB10" i="1" s="1"/>
  <c r="AA11" i="1"/>
  <c r="AB11" i="1" s="1"/>
  <c r="AC11" i="1" s="1"/>
  <c r="AA12" i="1"/>
  <c r="AB12" i="1" s="1"/>
  <c r="AC12" i="1" s="1"/>
  <c r="AA13" i="1"/>
  <c r="AB13" i="1" s="1"/>
  <c r="AC13" i="1" s="1"/>
  <c r="AA14" i="1"/>
  <c r="AB14" i="1" s="1"/>
  <c r="AC14" i="1" s="1"/>
  <c r="AA15" i="1"/>
  <c r="AB15" i="1" s="1"/>
  <c r="AC15" i="1" s="1"/>
  <c r="AA16" i="1"/>
  <c r="AB16" i="1" s="1"/>
  <c r="AA17" i="1"/>
  <c r="AB17" i="1" s="1"/>
  <c r="AC17" i="1" s="1"/>
  <c r="AA18" i="1"/>
  <c r="AB18" i="1" s="1"/>
  <c r="AC18" i="1" s="1"/>
  <c r="AA19" i="1"/>
  <c r="AA20" i="1"/>
  <c r="AA21" i="1"/>
  <c r="AB21" i="1" s="1"/>
  <c r="AC21" i="1" s="1"/>
  <c r="AA22" i="1"/>
  <c r="AB22" i="1" s="1"/>
  <c r="AC22" i="1" s="1"/>
  <c r="AA23" i="1"/>
  <c r="AB23" i="1" s="1"/>
  <c r="AC23" i="1" s="1"/>
  <c r="AA24" i="1"/>
  <c r="AB24" i="1" s="1"/>
  <c r="AC24" i="1" s="1"/>
  <c r="AA25" i="1"/>
  <c r="AB25" i="1" s="1"/>
  <c r="AC25" i="1" s="1"/>
  <c r="AA26" i="1"/>
  <c r="AB26" i="1" s="1"/>
  <c r="AC26" i="1" s="1"/>
  <c r="AA27" i="1"/>
  <c r="AB27" i="1" s="1"/>
  <c r="AC27" i="1" s="1"/>
  <c r="AA28" i="1"/>
  <c r="AA29" i="1"/>
  <c r="AB29" i="1" s="1"/>
  <c r="AC29" i="1" s="1"/>
  <c r="AA30" i="1"/>
  <c r="AB30" i="1" s="1"/>
  <c r="AC30" i="1" s="1"/>
  <c r="AA31" i="1"/>
  <c r="AB31" i="1" s="1"/>
  <c r="AC31" i="1" s="1"/>
  <c r="AA32" i="1"/>
  <c r="AB32" i="1" s="1"/>
  <c r="AC32" i="1" s="1"/>
  <c r="AA33" i="1"/>
  <c r="AB33" i="1" s="1"/>
  <c r="AC33" i="1" s="1"/>
  <c r="AA34" i="1"/>
  <c r="AB34" i="1" s="1"/>
  <c r="AC34" i="1" s="1"/>
  <c r="AA35" i="1"/>
  <c r="AA36" i="1"/>
  <c r="AB36" i="1" s="1"/>
  <c r="AC36" i="1" s="1"/>
  <c r="AA37" i="1"/>
  <c r="AB37" i="1" s="1"/>
  <c r="AC37" i="1" s="1"/>
  <c r="AA38" i="1"/>
  <c r="AB38" i="1" s="1"/>
  <c r="AC38" i="1" s="1"/>
  <c r="AA39" i="1"/>
  <c r="AB39" i="1" s="1"/>
  <c r="AC39" i="1" s="1"/>
  <c r="AA40" i="1"/>
  <c r="AB40" i="1" s="1"/>
  <c r="AC40" i="1" s="1"/>
  <c r="AA41" i="1"/>
  <c r="AB41" i="1" s="1"/>
  <c r="AC41" i="1" s="1"/>
  <c r="AA42" i="1"/>
  <c r="AB42" i="1" s="1"/>
  <c r="AC42" i="1" s="1"/>
  <c r="AA43" i="1"/>
  <c r="AB43" i="1" s="1"/>
  <c r="AA44" i="1"/>
  <c r="AB44" i="1" s="1"/>
  <c r="AC44" i="1" s="1"/>
  <c r="AA45" i="1"/>
  <c r="AB45" i="1" s="1"/>
  <c r="AC45" i="1" s="1"/>
  <c r="AA46" i="1"/>
  <c r="AB46" i="1" s="1"/>
  <c r="AC46" i="1" s="1"/>
  <c r="AA47" i="1"/>
  <c r="AA48" i="1"/>
  <c r="AB48" i="1" s="1"/>
  <c r="AC48" i="1" s="1"/>
  <c r="AA49" i="1"/>
  <c r="AB49" i="1" s="1"/>
  <c r="AC49" i="1" s="1"/>
  <c r="AA50" i="1"/>
  <c r="AB50" i="1" s="1"/>
  <c r="AC50" i="1" s="1"/>
  <c r="AA51" i="1"/>
  <c r="AB51" i="1" s="1"/>
  <c r="AC51" i="1" s="1"/>
  <c r="AA52" i="1"/>
  <c r="AB52" i="1" s="1"/>
  <c r="AC52" i="1" s="1"/>
  <c r="AA53" i="1"/>
  <c r="AB53" i="1" s="1"/>
  <c r="AC53" i="1" s="1"/>
  <c r="AA54" i="1"/>
  <c r="AB54" i="1" s="1"/>
  <c r="AC54" i="1" s="1"/>
  <c r="AA55" i="1"/>
  <c r="AA56" i="1"/>
  <c r="AA57" i="1"/>
  <c r="AB57" i="1" s="1"/>
  <c r="AC57" i="1" s="1"/>
  <c r="AA58" i="1"/>
  <c r="AB58" i="1" s="1"/>
  <c r="AA59" i="1"/>
  <c r="AB59" i="1" s="1"/>
  <c r="AA60" i="1"/>
  <c r="AB60" i="1" s="1"/>
  <c r="AC60" i="1" s="1"/>
  <c r="AA61" i="1"/>
  <c r="AB61" i="1" s="1"/>
  <c r="AC61" i="1" s="1"/>
  <c r="AA62" i="1"/>
  <c r="AB62" i="1" s="1"/>
  <c r="AC62" i="1" s="1"/>
  <c r="AA63" i="1"/>
  <c r="AA64" i="1"/>
  <c r="AB64" i="1" s="1"/>
  <c r="AC64" i="1" s="1"/>
  <c r="AA65" i="1"/>
  <c r="AB65" i="1" s="1"/>
  <c r="AC65" i="1" s="1"/>
  <c r="AA66" i="1"/>
  <c r="AB66" i="1" s="1"/>
  <c r="AC66" i="1" s="1"/>
  <c r="AA67" i="1"/>
  <c r="AB67" i="1" s="1"/>
  <c r="AC67" i="1" s="1"/>
  <c r="AA68" i="1"/>
  <c r="AB68" i="1" s="1"/>
  <c r="AC68" i="1" s="1"/>
  <c r="AA69" i="1"/>
  <c r="AB69" i="1" s="1"/>
  <c r="AC69" i="1" s="1"/>
  <c r="AA70" i="1"/>
  <c r="AB70" i="1" s="1"/>
  <c r="AC70" i="1" s="1"/>
  <c r="AA71" i="1"/>
  <c r="AA72" i="1"/>
  <c r="AB72" i="1" s="1"/>
  <c r="AC72" i="1" s="1"/>
  <c r="AA73" i="1"/>
  <c r="AB73" i="1" s="1"/>
  <c r="AC73" i="1" s="1"/>
  <c r="AA74" i="1"/>
  <c r="AB74" i="1" s="1"/>
  <c r="AA75" i="1"/>
  <c r="AB75" i="1" s="1"/>
  <c r="AC75" i="1" s="1"/>
  <c r="AA76" i="1"/>
  <c r="AB76" i="1" s="1"/>
  <c r="AC76" i="1" s="1"/>
  <c r="AA77" i="1"/>
  <c r="AB77" i="1" s="1"/>
  <c r="AC77" i="1" s="1"/>
  <c r="AA78" i="1"/>
  <c r="AB78" i="1" s="1"/>
  <c r="AC78" i="1" s="1"/>
  <c r="AA79" i="1"/>
  <c r="AB79" i="1" s="1"/>
  <c r="AC79" i="1" s="1"/>
  <c r="AA80" i="1"/>
  <c r="AB80" i="1" s="1"/>
  <c r="AC80" i="1" s="1"/>
  <c r="AA81" i="1"/>
  <c r="AB81" i="1" s="1"/>
  <c r="AC81" i="1" s="1"/>
  <c r="AA82" i="1"/>
  <c r="AB82" i="1" s="1"/>
  <c r="AC82" i="1" s="1"/>
  <c r="AA83" i="1"/>
  <c r="AA84" i="1"/>
  <c r="AA85" i="1"/>
  <c r="AB85" i="1" s="1"/>
  <c r="AC85" i="1" s="1"/>
  <c r="AA86" i="1"/>
  <c r="AB86" i="1" s="1"/>
  <c r="AA87" i="1"/>
  <c r="AB87" i="1" s="1"/>
  <c r="AC87" i="1" s="1"/>
  <c r="AA88" i="1"/>
  <c r="AB88" i="1" s="1"/>
  <c r="AC88" i="1" s="1"/>
  <c r="AA89" i="1"/>
  <c r="AB89" i="1" s="1"/>
  <c r="AC89" i="1" s="1"/>
  <c r="AA90" i="1"/>
  <c r="AB90" i="1" s="1"/>
  <c r="AC90" i="1" s="1"/>
  <c r="AA91" i="1"/>
  <c r="AB91" i="1" s="1"/>
  <c r="AC91" i="1" s="1"/>
  <c r="AA92" i="1"/>
  <c r="AA93" i="1"/>
  <c r="AB93" i="1" s="1"/>
  <c r="AC93" i="1" s="1"/>
  <c r="AA94" i="1"/>
  <c r="AB94" i="1" s="1"/>
  <c r="AC94" i="1" s="1"/>
  <c r="AA95" i="1"/>
  <c r="AB95" i="1" s="1"/>
  <c r="AC95" i="1" s="1"/>
  <c r="AA96" i="1"/>
  <c r="AB96" i="1" s="1"/>
  <c r="AC96" i="1" s="1"/>
  <c r="AA97" i="1"/>
  <c r="AB97" i="1" s="1"/>
  <c r="AC97" i="1" s="1"/>
  <c r="AA98" i="1"/>
  <c r="AB98" i="1" s="1"/>
  <c r="AC98" i="1" s="1"/>
  <c r="AA99" i="1"/>
  <c r="AA100" i="1"/>
  <c r="AB100" i="1" s="1"/>
  <c r="AC100" i="1" s="1"/>
  <c r="AA101" i="1"/>
  <c r="AB101" i="1" s="1"/>
  <c r="AC101" i="1" s="1"/>
  <c r="AA102" i="1"/>
  <c r="AB102" i="1" s="1"/>
  <c r="AA103" i="1"/>
  <c r="AB103" i="1" s="1"/>
  <c r="AC103" i="1" s="1"/>
  <c r="AA104" i="1"/>
  <c r="AB104" i="1" s="1"/>
  <c r="AC104" i="1" s="1"/>
  <c r="AA105" i="1"/>
  <c r="AB105" i="1" s="1"/>
  <c r="AC105" i="1" s="1"/>
  <c r="AA106" i="1"/>
  <c r="AB106" i="1" s="1"/>
  <c r="AC106" i="1" s="1"/>
  <c r="AA107" i="1"/>
  <c r="AB107" i="1" s="1"/>
  <c r="AC107" i="1" s="1"/>
  <c r="AA108" i="1"/>
  <c r="AB108" i="1" s="1"/>
  <c r="AC108" i="1" s="1"/>
  <c r="AA109" i="1"/>
  <c r="AB109" i="1" s="1"/>
  <c r="AC109" i="1" s="1"/>
  <c r="AA110" i="1"/>
  <c r="AB110" i="1" s="1"/>
  <c r="AC110" i="1" s="1"/>
  <c r="AA111" i="1"/>
  <c r="AA112" i="1"/>
  <c r="AB112" i="1" s="1"/>
  <c r="AC112" i="1" s="1"/>
  <c r="AA113" i="1"/>
  <c r="AB113" i="1" s="1"/>
  <c r="AC113" i="1" s="1"/>
  <c r="AA114" i="1"/>
  <c r="AB114" i="1" s="1"/>
  <c r="AA115" i="1"/>
  <c r="AB115" i="1" s="1"/>
  <c r="AC115" i="1" s="1"/>
  <c r="AA116" i="1"/>
  <c r="AB116" i="1" s="1"/>
  <c r="AC116" i="1" s="1"/>
  <c r="AA117" i="1"/>
  <c r="AB117" i="1" s="1"/>
  <c r="AC117" i="1" s="1"/>
  <c r="AA118" i="1"/>
  <c r="AB118" i="1" s="1"/>
  <c r="AC118" i="1" s="1"/>
  <c r="AA119" i="1"/>
  <c r="AA120" i="1"/>
  <c r="AA121" i="1"/>
  <c r="AB121" i="1" s="1"/>
  <c r="AC121" i="1" s="1"/>
  <c r="AA122" i="1"/>
  <c r="AB122" i="1" s="1"/>
  <c r="AC122" i="1" s="1"/>
  <c r="AA123" i="1"/>
  <c r="AB123" i="1" s="1"/>
  <c r="AC123" i="1" s="1"/>
  <c r="AA124" i="1"/>
  <c r="AB124" i="1" s="1"/>
  <c r="AC124" i="1" s="1"/>
  <c r="AA125" i="1"/>
  <c r="AB125" i="1" s="1"/>
  <c r="AC125" i="1" s="1"/>
  <c r="AA126" i="1"/>
  <c r="AB126" i="1" s="1"/>
  <c r="AC126" i="1" s="1"/>
  <c r="AA127" i="1"/>
  <c r="AA128" i="1"/>
  <c r="AB128" i="1" s="1"/>
  <c r="AC128" i="1" s="1"/>
  <c r="AA129" i="1"/>
  <c r="AB129" i="1" s="1"/>
  <c r="AC129" i="1" s="1"/>
  <c r="AA130" i="1"/>
  <c r="AB130" i="1" s="1"/>
  <c r="AA131" i="1"/>
  <c r="AB131" i="1" s="1"/>
  <c r="AC131" i="1" s="1"/>
  <c r="AA132" i="1"/>
  <c r="AB132" i="1" s="1"/>
  <c r="AC132" i="1" s="1"/>
  <c r="AA133" i="1"/>
  <c r="AB133" i="1" s="1"/>
  <c r="AC133" i="1" s="1"/>
  <c r="AA134" i="1"/>
  <c r="AB134" i="1" s="1"/>
  <c r="AC134" i="1" s="1"/>
  <c r="AA135" i="1"/>
  <c r="AA136" i="1"/>
  <c r="AB136" i="1" s="1"/>
  <c r="AC136" i="1" s="1"/>
  <c r="AA137" i="1"/>
  <c r="AB137" i="1" s="1"/>
  <c r="AC137" i="1" s="1"/>
  <c r="AA138" i="1"/>
  <c r="AB138" i="1" s="1"/>
  <c r="AC138" i="1" s="1"/>
  <c r="AA139" i="1"/>
  <c r="AB139" i="1" s="1"/>
  <c r="AC139" i="1" s="1"/>
  <c r="AA140" i="1"/>
  <c r="AB140" i="1" s="1"/>
  <c r="AC140" i="1" s="1"/>
  <c r="AA141" i="1"/>
  <c r="AB141" i="1" s="1"/>
  <c r="AC141" i="1" s="1"/>
  <c r="AA142" i="1"/>
  <c r="AB142" i="1" s="1"/>
  <c r="AC142" i="1" s="1"/>
  <c r="AA143" i="1"/>
  <c r="AB143" i="1" s="1"/>
  <c r="AC143" i="1" s="1"/>
  <c r="AA144" i="1"/>
  <c r="AB144" i="1" s="1"/>
  <c r="AC144" i="1" s="1"/>
  <c r="AA145" i="1"/>
  <c r="AB145" i="1" s="1"/>
  <c r="AC145" i="1" s="1"/>
  <c r="AA146" i="1"/>
  <c r="AB146" i="1" s="1"/>
  <c r="AC146" i="1" s="1"/>
  <c r="AA147" i="1"/>
  <c r="AA148" i="1"/>
  <c r="AB148" i="1" s="1"/>
  <c r="AC148" i="1" s="1"/>
  <c r="AA149" i="1"/>
  <c r="AB149" i="1" s="1"/>
  <c r="AC149" i="1" s="1"/>
  <c r="AA150" i="1"/>
  <c r="AB150" i="1" s="1"/>
  <c r="AC150" i="1" s="1"/>
  <c r="AA151" i="1"/>
  <c r="AA152" i="1"/>
  <c r="AA153" i="1"/>
  <c r="AB153" i="1" s="1"/>
  <c r="AC153" i="1" s="1"/>
  <c r="AA154" i="1"/>
  <c r="AB154" i="1" s="1"/>
  <c r="AC154" i="1" s="1"/>
  <c r="AA155" i="1"/>
  <c r="AB155" i="1" s="1"/>
  <c r="AC155" i="1" s="1"/>
  <c r="AA156" i="1"/>
  <c r="AB156" i="1" s="1"/>
  <c r="AC156" i="1" s="1"/>
  <c r="AA157" i="1"/>
  <c r="AB157" i="1" s="1"/>
  <c r="AC157" i="1" s="1"/>
  <c r="AA158" i="1"/>
  <c r="AB158" i="1" s="1"/>
  <c r="AC158" i="1" s="1"/>
  <c r="AA159" i="1"/>
  <c r="AB159" i="1" s="1"/>
  <c r="AC159" i="1" s="1"/>
  <c r="AA160" i="1"/>
  <c r="AB160" i="1" s="1"/>
  <c r="AC160" i="1" s="1"/>
  <c r="AA161" i="1"/>
  <c r="AB161" i="1" s="1"/>
  <c r="AC161" i="1" s="1"/>
  <c r="AA162" i="1"/>
  <c r="AB162" i="1" s="1"/>
  <c r="AC162" i="1" s="1"/>
  <c r="AA163" i="1"/>
  <c r="AA164" i="1"/>
  <c r="AB164" i="1" s="1"/>
  <c r="AC164" i="1" s="1"/>
  <c r="AA165" i="1"/>
  <c r="AB165" i="1" s="1"/>
  <c r="AC165" i="1" s="1"/>
  <c r="AA166" i="1"/>
  <c r="AB166" i="1" s="1"/>
  <c r="AC166" i="1" s="1"/>
  <c r="AA167" i="1"/>
  <c r="AA168" i="1"/>
  <c r="AA169" i="1"/>
  <c r="AB169" i="1" s="1"/>
  <c r="AC169" i="1" s="1"/>
  <c r="AA170" i="1"/>
  <c r="AB170" i="1" s="1"/>
  <c r="AC170" i="1" s="1"/>
  <c r="AA171" i="1"/>
  <c r="AA172" i="1"/>
  <c r="AA173" i="1"/>
  <c r="AB173" i="1" s="1"/>
  <c r="AC173" i="1" s="1"/>
  <c r="AA174" i="1"/>
  <c r="AB174" i="1" s="1"/>
  <c r="AC174" i="1" s="1"/>
  <c r="AA175" i="1"/>
  <c r="AA176" i="1"/>
  <c r="AA177" i="1"/>
  <c r="AB177" i="1" s="1"/>
  <c r="AC177" i="1" s="1"/>
  <c r="AA178" i="1"/>
  <c r="AB178" i="1" s="1"/>
  <c r="AC178" i="1" s="1"/>
  <c r="AA179" i="1"/>
  <c r="AA180" i="1"/>
  <c r="AA181" i="1"/>
  <c r="AB181" i="1" s="1"/>
  <c r="AC181" i="1" s="1"/>
  <c r="AA182" i="1"/>
  <c r="AB182" i="1" s="1"/>
  <c r="AC182" i="1" s="1"/>
  <c r="AA183" i="1"/>
  <c r="AA184" i="1"/>
  <c r="AA2" i="1"/>
  <c r="AB2" i="1" s="1"/>
  <c r="AC2" i="1" s="1"/>
  <c r="X3" i="1"/>
  <c r="Y3" i="1" s="1"/>
  <c r="Z3" i="1" s="1"/>
  <c r="X4" i="1"/>
  <c r="Y4" i="1" s="1"/>
  <c r="Z4" i="1" s="1"/>
  <c r="X5" i="1"/>
  <c r="Y5" i="1" s="1"/>
  <c r="Z5" i="1" s="1"/>
  <c r="X6" i="1"/>
  <c r="Y6" i="1" s="1"/>
  <c r="Z6" i="1" s="1"/>
  <c r="X7" i="1"/>
  <c r="Y7" i="1" s="1"/>
  <c r="Z7" i="1" s="1"/>
  <c r="X8" i="1"/>
  <c r="Y8" i="1" s="1"/>
  <c r="Z8" i="1" s="1"/>
  <c r="X9" i="1"/>
  <c r="Y9" i="1" s="1"/>
  <c r="Z9" i="1" s="1"/>
  <c r="X10" i="1"/>
  <c r="Y10" i="1" s="1"/>
  <c r="Z10" i="1" s="1"/>
  <c r="X11" i="1"/>
  <c r="Y11" i="1" s="1"/>
  <c r="Z11" i="1" s="1"/>
  <c r="X12" i="1"/>
  <c r="Y12" i="1" s="1"/>
  <c r="Z12" i="1" s="1"/>
  <c r="X13" i="1"/>
  <c r="Y13" i="1" s="1"/>
  <c r="Z13" i="1" s="1"/>
  <c r="X14" i="1"/>
  <c r="Y14" i="1" s="1"/>
  <c r="Z14" i="1" s="1"/>
  <c r="X15" i="1"/>
  <c r="Y15" i="1" s="1"/>
  <c r="Z15" i="1" s="1"/>
  <c r="X16" i="1"/>
  <c r="Y16" i="1" s="1"/>
  <c r="Z16" i="1" s="1"/>
  <c r="X17" i="1"/>
  <c r="Y17" i="1" s="1"/>
  <c r="Z17" i="1" s="1"/>
  <c r="X18" i="1"/>
  <c r="Y18" i="1" s="1"/>
  <c r="Z18" i="1" s="1"/>
  <c r="X19" i="1"/>
  <c r="Y19" i="1" s="1"/>
  <c r="Z19" i="1" s="1"/>
  <c r="X20" i="1"/>
  <c r="Y20" i="1" s="1"/>
  <c r="Z20" i="1" s="1"/>
  <c r="X21" i="1"/>
  <c r="Y21" i="1" s="1"/>
  <c r="Z21" i="1" s="1"/>
  <c r="X22" i="1"/>
  <c r="Y22" i="1" s="1"/>
  <c r="Z22" i="1" s="1"/>
  <c r="X23" i="1"/>
  <c r="Y23" i="1" s="1"/>
  <c r="Z23" i="1" s="1"/>
  <c r="X24" i="1"/>
  <c r="Y24" i="1" s="1"/>
  <c r="Z24" i="1" s="1"/>
  <c r="X25" i="1"/>
  <c r="Y25" i="1" s="1"/>
  <c r="Z25" i="1" s="1"/>
  <c r="X26" i="1"/>
  <c r="Y26" i="1" s="1"/>
  <c r="Z26" i="1" s="1"/>
  <c r="X27" i="1"/>
  <c r="Y27" i="1" s="1"/>
  <c r="Z27" i="1" s="1"/>
  <c r="X28" i="1"/>
  <c r="Y28" i="1" s="1"/>
  <c r="Z28" i="1" s="1"/>
  <c r="X29" i="1"/>
  <c r="Y29" i="1" s="1"/>
  <c r="Z29" i="1" s="1"/>
  <c r="X30" i="1"/>
  <c r="Y30" i="1" s="1"/>
  <c r="Z30" i="1" s="1"/>
  <c r="X31" i="1"/>
  <c r="Y31" i="1" s="1"/>
  <c r="Z31" i="1" s="1"/>
  <c r="X32" i="1"/>
  <c r="Y32" i="1" s="1"/>
  <c r="Z32" i="1" s="1"/>
  <c r="X33" i="1"/>
  <c r="Y33" i="1" s="1"/>
  <c r="Z33" i="1" s="1"/>
  <c r="X34" i="1"/>
  <c r="Y34" i="1" s="1"/>
  <c r="Z34" i="1" s="1"/>
  <c r="X35" i="1"/>
  <c r="Y35" i="1" s="1"/>
  <c r="Z35" i="1" s="1"/>
  <c r="X36" i="1"/>
  <c r="Y36" i="1" s="1"/>
  <c r="Z36" i="1" s="1"/>
  <c r="X37" i="1"/>
  <c r="Y37" i="1" s="1"/>
  <c r="Z37" i="1" s="1"/>
  <c r="X38" i="1"/>
  <c r="Y38" i="1" s="1"/>
  <c r="Z38" i="1" s="1"/>
  <c r="X39" i="1"/>
  <c r="Y39" i="1" s="1"/>
  <c r="Z39" i="1" s="1"/>
  <c r="X40" i="1"/>
  <c r="Y40" i="1" s="1"/>
  <c r="Z40" i="1" s="1"/>
  <c r="X41" i="1"/>
  <c r="Y41" i="1" s="1"/>
  <c r="Z41" i="1" s="1"/>
  <c r="X42" i="1"/>
  <c r="Y42" i="1" s="1"/>
  <c r="Z42" i="1" s="1"/>
  <c r="X43" i="1"/>
  <c r="Y43" i="1" s="1"/>
  <c r="Z43" i="1" s="1"/>
  <c r="X44" i="1"/>
  <c r="Y44" i="1" s="1"/>
  <c r="Z44" i="1" s="1"/>
  <c r="X45" i="1"/>
  <c r="Y45" i="1" s="1"/>
  <c r="Z45" i="1" s="1"/>
  <c r="X46" i="1"/>
  <c r="Y46" i="1" s="1"/>
  <c r="Z46" i="1" s="1"/>
  <c r="X47" i="1"/>
  <c r="Y47" i="1" s="1"/>
  <c r="Z47" i="1" s="1"/>
  <c r="X48" i="1"/>
  <c r="Y48" i="1" s="1"/>
  <c r="Z48" i="1" s="1"/>
  <c r="X49" i="1"/>
  <c r="Y49" i="1" s="1"/>
  <c r="Z49" i="1" s="1"/>
  <c r="X50" i="1"/>
  <c r="Y50" i="1" s="1"/>
  <c r="Z50" i="1" s="1"/>
  <c r="X51" i="1"/>
  <c r="Y51" i="1" s="1"/>
  <c r="Z51" i="1" s="1"/>
  <c r="X52" i="1"/>
  <c r="Y52" i="1" s="1"/>
  <c r="Z52" i="1" s="1"/>
  <c r="X53" i="1"/>
  <c r="Y53" i="1" s="1"/>
  <c r="Z53" i="1" s="1"/>
  <c r="X54" i="1"/>
  <c r="Y54" i="1" s="1"/>
  <c r="Z54" i="1" s="1"/>
  <c r="X55" i="1"/>
  <c r="Y55" i="1" s="1"/>
  <c r="Z55" i="1" s="1"/>
  <c r="X56" i="1"/>
  <c r="Y56" i="1" s="1"/>
  <c r="Z56" i="1" s="1"/>
  <c r="X57" i="1"/>
  <c r="Y57" i="1" s="1"/>
  <c r="Z57" i="1" s="1"/>
  <c r="X58" i="1"/>
  <c r="Y58" i="1" s="1"/>
  <c r="Z58" i="1" s="1"/>
  <c r="X59" i="1"/>
  <c r="Y59" i="1" s="1"/>
  <c r="Z59" i="1" s="1"/>
  <c r="X60" i="1"/>
  <c r="Y60" i="1" s="1"/>
  <c r="Z60" i="1" s="1"/>
  <c r="X61" i="1"/>
  <c r="Y61" i="1" s="1"/>
  <c r="Z61" i="1" s="1"/>
  <c r="X62" i="1"/>
  <c r="Y62" i="1" s="1"/>
  <c r="Z62" i="1" s="1"/>
  <c r="X63" i="1"/>
  <c r="Y63" i="1" s="1"/>
  <c r="Z63" i="1" s="1"/>
  <c r="X64" i="1"/>
  <c r="Y64" i="1" s="1"/>
  <c r="Z64" i="1" s="1"/>
  <c r="X65" i="1"/>
  <c r="Y65" i="1" s="1"/>
  <c r="Z65" i="1" s="1"/>
  <c r="X66" i="1"/>
  <c r="Y66" i="1" s="1"/>
  <c r="Z66" i="1" s="1"/>
  <c r="X67" i="1"/>
  <c r="Y67" i="1" s="1"/>
  <c r="Z67" i="1" s="1"/>
  <c r="X68" i="1"/>
  <c r="Y68" i="1" s="1"/>
  <c r="Z68" i="1" s="1"/>
  <c r="X69" i="1"/>
  <c r="Y69" i="1" s="1"/>
  <c r="Z69" i="1" s="1"/>
  <c r="X70" i="1"/>
  <c r="Y70" i="1" s="1"/>
  <c r="Z70" i="1" s="1"/>
  <c r="X71" i="1"/>
  <c r="Y71" i="1" s="1"/>
  <c r="Z71" i="1" s="1"/>
  <c r="X72" i="1"/>
  <c r="Y72" i="1" s="1"/>
  <c r="Z72" i="1" s="1"/>
  <c r="X73" i="1"/>
  <c r="Y73" i="1" s="1"/>
  <c r="Z73" i="1" s="1"/>
  <c r="X74" i="1"/>
  <c r="Y74" i="1" s="1"/>
  <c r="Z74" i="1" s="1"/>
  <c r="X75" i="1"/>
  <c r="Y75" i="1" s="1"/>
  <c r="Z75" i="1" s="1"/>
  <c r="X76" i="1"/>
  <c r="Y76" i="1" s="1"/>
  <c r="Z76" i="1" s="1"/>
  <c r="X77" i="1"/>
  <c r="Y77" i="1" s="1"/>
  <c r="Z77" i="1" s="1"/>
  <c r="X78" i="1"/>
  <c r="Y78" i="1" s="1"/>
  <c r="Z78" i="1" s="1"/>
  <c r="X79" i="1"/>
  <c r="Y79" i="1" s="1"/>
  <c r="Z79" i="1" s="1"/>
  <c r="X80" i="1"/>
  <c r="Y80" i="1" s="1"/>
  <c r="Z80" i="1" s="1"/>
  <c r="X81" i="1"/>
  <c r="Y81" i="1" s="1"/>
  <c r="Z81" i="1" s="1"/>
  <c r="X82" i="1"/>
  <c r="Y82" i="1" s="1"/>
  <c r="Z82" i="1" s="1"/>
  <c r="X83" i="1"/>
  <c r="Y83" i="1" s="1"/>
  <c r="Z83" i="1" s="1"/>
  <c r="X84" i="1"/>
  <c r="Y84" i="1" s="1"/>
  <c r="Z84" i="1" s="1"/>
  <c r="X85" i="1"/>
  <c r="Y85" i="1" s="1"/>
  <c r="Z85" i="1" s="1"/>
  <c r="X86" i="1"/>
  <c r="Y86" i="1" s="1"/>
  <c r="Z86" i="1" s="1"/>
  <c r="X87" i="1"/>
  <c r="Y87" i="1" s="1"/>
  <c r="Z87" i="1" s="1"/>
  <c r="X88" i="1"/>
  <c r="Y88" i="1" s="1"/>
  <c r="Z88" i="1" s="1"/>
  <c r="X89" i="1"/>
  <c r="Y89" i="1" s="1"/>
  <c r="Z89" i="1" s="1"/>
  <c r="X90" i="1"/>
  <c r="Y90" i="1" s="1"/>
  <c r="Z90" i="1" s="1"/>
  <c r="X91" i="1"/>
  <c r="Y91" i="1" s="1"/>
  <c r="Z91" i="1" s="1"/>
  <c r="X92" i="1"/>
  <c r="Y92" i="1" s="1"/>
  <c r="Z92" i="1" s="1"/>
  <c r="X93" i="1"/>
  <c r="Y93" i="1" s="1"/>
  <c r="Z93" i="1" s="1"/>
  <c r="X94" i="1"/>
  <c r="Y94" i="1" s="1"/>
  <c r="Z94" i="1" s="1"/>
  <c r="X95" i="1"/>
  <c r="Y95" i="1" s="1"/>
  <c r="Z95" i="1" s="1"/>
  <c r="X96" i="1"/>
  <c r="Y96" i="1" s="1"/>
  <c r="Z96" i="1" s="1"/>
  <c r="X97" i="1"/>
  <c r="Y97" i="1" s="1"/>
  <c r="Z97" i="1" s="1"/>
  <c r="X98" i="1"/>
  <c r="Y98" i="1" s="1"/>
  <c r="Z98" i="1" s="1"/>
  <c r="X99" i="1"/>
  <c r="Y99" i="1" s="1"/>
  <c r="Z99" i="1" s="1"/>
  <c r="X100" i="1"/>
  <c r="Y100" i="1" s="1"/>
  <c r="Z100" i="1" s="1"/>
  <c r="X101" i="1"/>
  <c r="Y101" i="1" s="1"/>
  <c r="Z101" i="1" s="1"/>
  <c r="X102" i="1"/>
  <c r="Y102" i="1" s="1"/>
  <c r="Z102" i="1" s="1"/>
  <c r="X103" i="1"/>
  <c r="Y103" i="1" s="1"/>
  <c r="Z103" i="1" s="1"/>
  <c r="X104" i="1"/>
  <c r="Y104" i="1" s="1"/>
  <c r="Z104" i="1" s="1"/>
  <c r="X105" i="1"/>
  <c r="Y105" i="1" s="1"/>
  <c r="Z105" i="1" s="1"/>
  <c r="X106" i="1"/>
  <c r="Y106" i="1" s="1"/>
  <c r="Z106" i="1" s="1"/>
  <c r="X107" i="1"/>
  <c r="Y107" i="1" s="1"/>
  <c r="Z107" i="1" s="1"/>
  <c r="X108" i="1"/>
  <c r="Y108" i="1" s="1"/>
  <c r="Z108" i="1" s="1"/>
  <c r="X109" i="1"/>
  <c r="Y109" i="1" s="1"/>
  <c r="Z109" i="1" s="1"/>
  <c r="X110" i="1"/>
  <c r="Y110" i="1" s="1"/>
  <c r="Z110" i="1" s="1"/>
  <c r="X111" i="1"/>
  <c r="Y111" i="1" s="1"/>
  <c r="Z111" i="1" s="1"/>
  <c r="X112" i="1"/>
  <c r="Y112" i="1" s="1"/>
  <c r="Z112" i="1" s="1"/>
  <c r="X113" i="1"/>
  <c r="Y113" i="1" s="1"/>
  <c r="Z113" i="1" s="1"/>
  <c r="X114" i="1"/>
  <c r="Y114" i="1" s="1"/>
  <c r="Z114" i="1" s="1"/>
  <c r="X115" i="1"/>
  <c r="Y115" i="1" s="1"/>
  <c r="Z115" i="1" s="1"/>
  <c r="X116" i="1"/>
  <c r="Y116" i="1" s="1"/>
  <c r="Z116" i="1" s="1"/>
  <c r="X117" i="1"/>
  <c r="Y117" i="1" s="1"/>
  <c r="Z117" i="1" s="1"/>
  <c r="X118" i="1"/>
  <c r="Y118" i="1" s="1"/>
  <c r="Z118" i="1" s="1"/>
  <c r="X119" i="1"/>
  <c r="Y119" i="1" s="1"/>
  <c r="Z119" i="1" s="1"/>
  <c r="X120" i="1"/>
  <c r="Y120" i="1" s="1"/>
  <c r="Z120" i="1" s="1"/>
  <c r="X121" i="1"/>
  <c r="Y121" i="1" s="1"/>
  <c r="Z121" i="1" s="1"/>
  <c r="X122" i="1"/>
  <c r="Y122" i="1" s="1"/>
  <c r="Z122" i="1" s="1"/>
  <c r="X123" i="1"/>
  <c r="Y123" i="1" s="1"/>
  <c r="Z123" i="1" s="1"/>
  <c r="X124" i="1"/>
  <c r="Y124" i="1" s="1"/>
  <c r="Z124" i="1" s="1"/>
  <c r="X125" i="1"/>
  <c r="Y125" i="1" s="1"/>
  <c r="Z125" i="1" s="1"/>
  <c r="X126" i="1"/>
  <c r="Y126" i="1" s="1"/>
  <c r="Z126" i="1" s="1"/>
  <c r="X127" i="1"/>
  <c r="Y127" i="1" s="1"/>
  <c r="Z127" i="1" s="1"/>
  <c r="X128" i="1"/>
  <c r="Y128" i="1" s="1"/>
  <c r="Z128" i="1" s="1"/>
  <c r="X129" i="1"/>
  <c r="Y129" i="1" s="1"/>
  <c r="Z129" i="1" s="1"/>
  <c r="X130" i="1"/>
  <c r="Y130" i="1" s="1"/>
  <c r="Z130" i="1" s="1"/>
  <c r="X131" i="1"/>
  <c r="Y131" i="1" s="1"/>
  <c r="Z131" i="1" s="1"/>
  <c r="X132" i="1"/>
  <c r="Y132" i="1" s="1"/>
  <c r="Z132" i="1" s="1"/>
  <c r="X133" i="1"/>
  <c r="Y133" i="1" s="1"/>
  <c r="Z133" i="1" s="1"/>
  <c r="X134" i="1"/>
  <c r="Y134" i="1" s="1"/>
  <c r="Z134" i="1" s="1"/>
  <c r="X135" i="1"/>
  <c r="Y135" i="1" s="1"/>
  <c r="Z135" i="1" s="1"/>
  <c r="X136" i="1"/>
  <c r="Y136" i="1" s="1"/>
  <c r="Z136" i="1" s="1"/>
  <c r="X137" i="1"/>
  <c r="Y137" i="1" s="1"/>
  <c r="Z137" i="1" s="1"/>
  <c r="X138" i="1"/>
  <c r="Y138" i="1" s="1"/>
  <c r="Z138" i="1" s="1"/>
  <c r="X139" i="1"/>
  <c r="Y139" i="1" s="1"/>
  <c r="Z139" i="1" s="1"/>
  <c r="X140" i="1"/>
  <c r="Y140" i="1" s="1"/>
  <c r="Z140" i="1" s="1"/>
  <c r="X141" i="1"/>
  <c r="Y141" i="1" s="1"/>
  <c r="Z141" i="1" s="1"/>
  <c r="X142" i="1"/>
  <c r="Y142" i="1" s="1"/>
  <c r="Z142" i="1" s="1"/>
  <c r="X143" i="1"/>
  <c r="Y143" i="1" s="1"/>
  <c r="Z143" i="1" s="1"/>
  <c r="X144" i="1"/>
  <c r="Y144" i="1" s="1"/>
  <c r="Z144" i="1" s="1"/>
  <c r="X145" i="1"/>
  <c r="Y145" i="1" s="1"/>
  <c r="Z145" i="1" s="1"/>
  <c r="X146" i="1"/>
  <c r="Y146" i="1" s="1"/>
  <c r="Z146" i="1" s="1"/>
  <c r="X147" i="1"/>
  <c r="Y147" i="1" s="1"/>
  <c r="Z147" i="1" s="1"/>
  <c r="X148" i="1"/>
  <c r="Y148" i="1" s="1"/>
  <c r="Z148" i="1" s="1"/>
  <c r="X149" i="1"/>
  <c r="Y149" i="1" s="1"/>
  <c r="Z149" i="1" s="1"/>
  <c r="X150" i="1"/>
  <c r="Y150" i="1" s="1"/>
  <c r="Z150" i="1" s="1"/>
  <c r="X151" i="1"/>
  <c r="Y151" i="1" s="1"/>
  <c r="Z151" i="1" s="1"/>
  <c r="X152" i="1"/>
  <c r="Y152" i="1" s="1"/>
  <c r="Z152" i="1" s="1"/>
  <c r="X153" i="1"/>
  <c r="Y153" i="1" s="1"/>
  <c r="Z153" i="1" s="1"/>
  <c r="X154" i="1"/>
  <c r="Y154" i="1" s="1"/>
  <c r="Z154" i="1" s="1"/>
  <c r="X155" i="1"/>
  <c r="Y155" i="1" s="1"/>
  <c r="Z155" i="1" s="1"/>
  <c r="X156" i="1"/>
  <c r="Y156" i="1" s="1"/>
  <c r="Z156" i="1" s="1"/>
  <c r="X157" i="1"/>
  <c r="Y157" i="1" s="1"/>
  <c r="Z157" i="1" s="1"/>
  <c r="X158" i="1"/>
  <c r="Y158" i="1" s="1"/>
  <c r="Z158" i="1" s="1"/>
  <c r="X159" i="1"/>
  <c r="Y159" i="1" s="1"/>
  <c r="Z159" i="1" s="1"/>
  <c r="X160" i="1"/>
  <c r="Y160" i="1" s="1"/>
  <c r="Z160" i="1" s="1"/>
  <c r="X161" i="1"/>
  <c r="Y161" i="1" s="1"/>
  <c r="Z161" i="1" s="1"/>
  <c r="X162" i="1"/>
  <c r="Y162" i="1" s="1"/>
  <c r="Z162" i="1" s="1"/>
  <c r="X163" i="1"/>
  <c r="Y163" i="1" s="1"/>
  <c r="Z163" i="1" s="1"/>
  <c r="X164" i="1"/>
  <c r="Y164" i="1" s="1"/>
  <c r="Z164" i="1" s="1"/>
  <c r="X165" i="1"/>
  <c r="Y165" i="1" s="1"/>
  <c r="Z165" i="1" s="1"/>
  <c r="X166" i="1"/>
  <c r="Y166" i="1" s="1"/>
  <c r="Z166" i="1" s="1"/>
  <c r="X167" i="1"/>
  <c r="Y167" i="1" s="1"/>
  <c r="Z167" i="1" s="1"/>
  <c r="X168" i="1"/>
  <c r="Y168" i="1" s="1"/>
  <c r="Z168" i="1" s="1"/>
  <c r="X169" i="1"/>
  <c r="Y169" i="1" s="1"/>
  <c r="Z169" i="1" s="1"/>
  <c r="X170" i="1"/>
  <c r="Y170" i="1" s="1"/>
  <c r="Z170" i="1" s="1"/>
  <c r="X171" i="1"/>
  <c r="Y171" i="1" s="1"/>
  <c r="Z171" i="1" s="1"/>
  <c r="X172" i="1"/>
  <c r="Y172" i="1" s="1"/>
  <c r="Z172" i="1" s="1"/>
  <c r="X173" i="1"/>
  <c r="Y173" i="1" s="1"/>
  <c r="Z173" i="1" s="1"/>
  <c r="X174" i="1"/>
  <c r="Y174" i="1" s="1"/>
  <c r="Z174" i="1" s="1"/>
  <c r="X175" i="1"/>
  <c r="Y175" i="1" s="1"/>
  <c r="Z175" i="1" s="1"/>
  <c r="X176" i="1"/>
  <c r="Y176" i="1" s="1"/>
  <c r="Z176" i="1" s="1"/>
  <c r="X177" i="1"/>
  <c r="Y177" i="1" s="1"/>
  <c r="Z177" i="1" s="1"/>
  <c r="X178" i="1"/>
  <c r="Y178" i="1" s="1"/>
  <c r="Z178" i="1" s="1"/>
  <c r="X179" i="1"/>
  <c r="Y179" i="1" s="1"/>
  <c r="Z179" i="1" s="1"/>
  <c r="X180" i="1"/>
  <c r="Y180" i="1" s="1"/>
  <c r="Z180" i="1" s="1"/>
  <c r="X181" i="1"/>
  <c r="Y181" i="1" s="1"/>
  <c r="Z181" i="1" s="1"/>
  <c r="X182" i="1"/>
  <c r="Y182" i="1" s="1"/>
  <c r="Z182" i="1" s="1"/>
  <c r="X183" i="1"/>
  <c r="Y183" i="1" s="1"/>
  <c r="Z183" i="1" s="1"/>
  <c r="X184" i="1"/>
  <c r="Y184" i="1" s="1"/>
  <c r="Z184" i="1" s="1"/>
  <c r="X2" i="1"/>
  <c r="Y2" i="1" s="1"/>
  <c r="Z2" i="1" s="1"/>
  <c r="V34" i="1"/>
  <c r="W34" i="1" s="1"/>
  <c r="U3" i="1"/>
  <c r="V3" i="1" s="1"/>
  <c r="W3" i="1" s="1"/>
  <c r="U4" i="1"/>
  <c r="V4" i="1" s="1"/>
  <c r="W4" i="1" s="1"/>
  <c r="U5" i="1"/>
  <c r="V5" i="1" s="1"/>
  <c r="W5" i="1" s="1"/>
  <c r="U6" i="1"/>
  <c r="V6" i="1" s="1"/>
  <c r="W6" i="1" s="1"/>
  <c r="U7" i="1"/>
  <c r="V7" i="1" s="1"/>
  <c r="W7" i="1" s="1"/>
  <c r="U8" i="1"/>
  <c r="V8" i="1" s="1"/>
  <c r="W8" i="1" s="1"/>
  <c r="U9" i="1"/>
  <c r="V9" i="1" s="1"/>
  <c r="W9" i="1" s="1"/>
  <c r="U10" i="1"/>
  <c r="V10" i="1" s="1"/>
  <c r="W10" i="1" s="1"/>
  <c r="U11" i="1"/>
  <c r="V11" i="1" s="1"/>
  <c r="W11" i="1" s="1"/>
  <c r="U12" i="1"/>
  <c r="V12" i="1" s="1"/>
  <c r="W12" i="1" s="1"/>
  <c r="U13" i="1"/>
  <c r="V13" i="1" s="1"/>
  <c r="W13" i="1" s="1"/>
  <c r="U14" i="1"/>
  <c r="V14" i="1" s="1"/>
  <c r="W14" i="1" s="1"/>
  <c r="U15" i="1"/>
  <c r="V15" i="1" s="1"/>
  <c r="W15" i="1" s="1"/>
  <c r="U16" i="1"/>
  <c r="V16" i="1" s="1"/>
  <c r="W16" i="1" s="1"/>
  <c r="U17" i="1"/>
  <c r="V17" i="1" s="1"/>
  <c r="W17" i="1" s="1"/>
  <c r="U18" i="1"/>
  <c r="V18" i="1" s="1"/>
  <c r="W18" i="1" s="1"/>
  <c r="U19" i="1"/>
  <c r="V19" i="1" s="1"/>
  <c r="W19" i="1" s="1"/>
  <c r="U20" i="1"/>
  <c r="V20" i="1" s="1"/>
  <c r="W20" i="1" s="1"/>
  <c r="U21" i="1"/>
  <c r="V21" i="1" s="1"/>
  <c r="W21" i="1" s="1"/>
  <c r="U22" i="1"/>
  <c r="V22" i="1" s="1"/>
  <c r="W22" i="1" s="1"/>
  <c r="U23" i="1"/>
  <c r="V23" i="1" s="1"/>
  <c r="W23" i="1" s="1"/>
  <c r="U24" i="1"/>
  <c r="V24" i="1" s="1"/>
  <c r="W24" i="1" s="1"/>
  <c r="U25" i="1"/>
  <c r="V25" i="1" s="1"/>
  <c r="W25" i="1" s="1"/>
  <c r="U26" i="1"/>
  <c r="V26" i="1" s="1"/>
  <c r="W26" i="1" s="1"/>
  <c r="U27" i="1"/>
  <c r="V27" i="1" s="1"/>
  <c r="W27" i="1" s="1"/>
  <c r="U28" i="1"/>
  <c r="V28" i="1" s="1"/>
  <c r="W28" i="1" s="1"/>
  <c r="U29" i="1"/>
  <c r="V29" i="1" s="1"/>
  <c r="W29" i="1" s="1"/>
  <c r="U30" i="1"/>
  <c r="V30" i="1" s="1"/>
  <c r="W30" i="1" s="1"/>
  <c r="U31" i="1"/>
  <c r="V31" i="1" s="1"/>
  <c r="W31" i="1" s="1"/>
  <c r="U32" i="1"/>
  <c r="V32" i="1" s="1"/>
  <c r="W32" i="1" s="1"/>
  <c r="U33" i="1"/>
  <c r="V33" i="1" s="1"/>
  <c r="W33" i="1" s="1"/>
  <c r="U34" i="1"/>
  <c r="U35" i="1"/>
  <c r="V35" i="1" s="1"/>
  <c r="W35" i="1" s="1"/>
  <c r="U36" i="1"/>
  <c r="V36" i="1" s="1"/>
  <c r="W36" i="1" s="1"/>
  <c r="U37" i="1"/>
  <c r="V37" i="1" s="1"/>
  <c r="W37" i="1" s="1"/>
  <c r="U38" i="1"/>
  <c r="V38" i="1" s="1"/>
  <c r="W38" i="1" s="1"/>
  <c r="U39" i="1"/>
  <c r="V39" i="1" s="1"/>
  <c r="W39" i="1" s="1"/>
  <c r="U40" i="1"/>
  <c r="V40" i="1" s="1"/>
  <c r="W40" i="1" s="1"/>
  <c r="U41" i="1"/>
  <c r="V41" i="1" s="1"/>
  <c r="W41" i="1" s="1"/>
  <c r="U42" i="1"/>
  <c r="V42" i="1" s="1"/>
  <c r="W42" i="1" s="1"/>
  <c r="U43" i="1"/>
  <c r="V43" i="1" s="1"/>
  <c r="W43" i="1" s="1"/>
  <c r="U44" i="1"/>
  <c r="V44" i="1" s="1"/>
  <c r="W44" i="1" s="1"/>
  <c r="U45" i="1"/>
  <c r="V45" i="1" s="1"/>
  <c r="W45" i="1" s="1"/>
  <c r="U46" i="1"/>
  <c r="V46" i="1" s="1"/>
  <c r="W46" i="1" s="1"/>
  <c r="U47" i="1"/>
  <c r="V47" i="1" s="1"/>
  <c r="W47" i="1" s="1"/>
  <c r="U48" i="1"/>
  <c r="V48" i="1" s="1"/>
  <c r="W48" i="1" s="1"/>
  <c r="U49" i="1"/>
  <c r="V49" i="1" s="1"/>
  <c r="W49" i="1" s="1"/>
  <c r="U50" i="1"/>
  <c r="V50" i="1" s="1"/>
  <c r="W50" i="1" s="1"/>
  <c r="U51" i="1"/>
  <c r="V51" i="1" s="1"/>
  <c r="W51" i="1" s="1"/>
  <c r="U52" i="1"/>
  <c r="V52" i="1" s="1"/>
  <c r="W52" i="1" s="1"/>
  <c r="U53" i="1"/>
  <c r="V53" i="1" s="1"/>
  <c r="W53" i="1" s="1"/>
  <c r="U54" i="1"/>
  <c r="V54" i="1" s="1"/>
  <c r="W54" i="1" s="1"/>
  <c r="U55" i="1"/>
  <c r="V55" i="1" s="1"/>
  <c r="W55" i="1" s="1"/>
  <c r="U56" i="1"/>
  <c r="V56" i="1" s="1"/>
  <c r="W56" i="1" s="1"/>
  <c r="U57" i="1"/>
  <c r="V57" i="1" s="1"/>
  <c r="W57" i="1" s="1"/>
  <c r="U58" i="1"/>
  <c r="V58" i="1" s="1"/>
  <c r="W58" i="1" s="1"/>
  <c r="U59" i="1"/>
  <c r="V59" i="1" s="1"/>
  <c r="W59" i="1" s="1"/>
  <c r="U60" i="1"/>
  <c r="V60" i="1" s="1"/>
  <c r="W60" i="1" s="1"/>
  <c r="U61" i="1"/>
  <c r="V61" i="1" s="1"/>
  <c r="W61" i="1" s="1"/>
  <c r="U62" i="1"/>
  <c r="V62" i="1" s="1"/>
  <c r="W62" i="1" s="1"/>
  <c r="U63" i="1"/>
  <c r="V63" i="1" s="1"/>
  <c r="W63" i="1" s="1"/>
  <c r="U64" i="1"/>
  <c r="V64" i="1" s="1"/>
  <c r="W64" i="1" s="1"/>
  <c r="U65" i="1"/>
  <c r="V65" i="1" s="1"/>
  <c r="W65" i="1" s="1"/>
  <c r="U66" i="1"/>
  <c r="V66" i="1" s="1"/>
  <c r="W66" i="1" s="1"/>
  <c r="U67" i="1"/>
  <c r="V67" i="1" s="1"/>
  <c r="W67" i="1" s="1"/>
  <c r="U68" i="1"/>
  <c r="V68" i="1" s="1"/>
  <c r="W68" i="1" s="1"/>
  <c r="U69" i="1"/>
  <c r="V69" i="1" s="1"/>
  <c r="W69" i="1" s="1"/>
  <c r="U70" i="1"/>
  <c r="V70" i="1" s="1"/>
  <c r="W70" i="1" s="1"/>
  <c r="U71" i="1"/>
  <c r="V71" i="1" s="1"/>
  <c r="W71" i="1" s="1"/>
  <c r="U72" i="1"/>
  <c r="V72" i="1" s="1"/>
  <c r="W72" i="1" s="1"/>
  <c r="U73" i="1"/>
  <c r="V73" i="1" s="1"/>
  <c r="W73" i="1" s="1"/>
  <c r="U74" i="1"/>
  <c r="V74" i="1" s="1"/>
  <c r="W74" i="1" s="1"/>
  <c r="U75" i="1"/>
  <c r="V75" i="1" s="1"/>
  <c r="W75" i="1" s="1"/>
  <c r="U76" i="1"/>
  <c r="V76" i="1" s="1"/>
  <c r="W76" i="1" s="1"/>
  <c r="U77" i="1"/>
  <c r="V77" i="1" s="1"/>
  <c r="W77" i="1" s="1"/>
  <c r="U78" i="1"/>
  <c r="V78" i="1" s="1"/>
  <c r="W78" i="1" s="1"/>
  <c r="U79" i="1"/>
  <c r="V79" i="1" s="1"/>
  <c r="W79" i="1" s="1"/>
  <c r="U80" i="1"/>
  <c r="V80" i="1" s="1"/>
  <c r="W80" i="1" s="1"/>
  <c r="U81" i="1"/>
  <c r="V81" i="1" s="1"/>
  <c r="W81" i="1" s="1"/>
  <c r="U82" i="1"/>
  <c r="V82" i="1" s="1"/>
  <c r="W82" i="1" s="1"/>
  <c r="U83" i="1"/>
  <c r="V83" i="1" s="1"/>
  <c r="W83" i="1" s="1"/>
  <c r="U84" i="1"/>
  <c r="V84" i="1" s="1"/>
  <c r="W84" i="1" s="1"/>
  <c r="U85" i="1"/>
  <c r="V85" i="1" s="1"/>
  <c r="W85" i="1" s="1"/>
  <c r="U86" i="1"/>
  <c r="V86" i="1" s="1"/>
  <c r="W86" i="1" s="1"/>
  <c r="U87" i="1"/>
  <c r="V87" i="1" s="1"/>
  <c r="W87" i="1" s="1"/>
  <c r="U88" i="1"/>
  <c r="V88" i="1" s="1"/>
  <c r="W88" i="1" s="1"/>
  <c r="U89" i="1"/>
  <c r="V89" i="1" s="1"/>
  <c r="W89" i="1" s="1"/>
  <c r="U90" i="1"/>
  <c r="V90" i="1" s="1"/>
  <c r="W90" i="1" s="1"/>
  <c r="U91" i="1"/>
  <c r="V91" i="1" s="1"/>
  <c r="W91" i="1" s="1"/>
  <c r="U92" i="1"/>
  <c r="V92" i="1" s="1"/>
  <c r="W92" i="1" s="1"/>
  <c r="U93" i="1"/>
  <c r="V93" i="1" s="1"/>
  <c r="W93" i="1" s="1"/>
  <c r="U94" i="1"/>
  <c r="V94" i="1" s="1"/>
  <c r="W94" i="1" s="1"/>
  <c r="U95" i="1"/>
  <c r="V95" i="1" s="1"/>
  <c r="W95" i="1" s="1"/>
  <c r="U96" i="1"/>
  <c r="V96" i="1" s="1"/>
  <c r="W96" i="1" s="1"/>
  <c r="U97" i="1"/>
  <c r="V97" i="1" s="1"/>
  <c r="W97" i="1" s="1"/>
  <c r="U98" i="1"/>
  <c r="V98" i="1" s="1"/>
  <c r="W98" i="1" s="1"/>
  <c r="U99" i="1"/>
  <c r="V99" i="1" s="1"/>
  <c r="W99" i="1" s="1"/>
  <c r="U100" i="1"/>
  <c r="V100" i="1" s="1"/>
  <c r="W100" i="1" s="1"/>
  <c r="U101" i="1"/>
  <c r="V101" i="1" s="1"/>
  <c r="W101" i="1" s="1"/>
  <c r="U102" i="1"/>
  <c r="V102" i="1" s="1"/>
  <c r="W102" i="1" s="1"/>
  <c r="U103" i="1"/>
  <c r="V103" i="1" s="1"/>
  <c r="W103" i="1" s="1"/>
  <c r="U104" i="1"/>
  <c r="V104" i="1" s="1"/>
  <c r="W104" i="1" s="1"/>
  <c r="U105" i="1"/>
  <c r="V105" i="1" s="1"/>
  <c r="W105" i="1" s="1"/>
  <c r="U106" i="1"/>
  <c r="V106" i="1" s="1"/>
  <c r="W106" i="1" s="1"/>
  <c r="U107" i="1"/>
  <c r="V107" i="1" s="1"/>
  <c r="W107" i="1" s="1"/>
  <c r="U108" i="1"/>
  <c r="V108" i="1" s="1"/>
  <c r="W108" i="1" s="1"/>
  <c r="U109" i="1"/>
  <c r="V109" i="1" s="1"/>
  <c r="W109" i="1" s="1"/>
  <c r="U110" i="1"/>
  <c r="V110" i="1" s="1"/>
  <c r="W110" i="1" s="1"/>
  <c r="U111" i="1"/>
  <c r="V111" i="1" s="1"/>
  <c r="W111" i="1" s="1"/>
  <c r="U112" i="1"/>
  <c r="V112" i="1" s="1"/>
  <c r="W112" i="1" s="1"/>
  <c r="U113" i="1"/>
  <c r="V113" i="1" s="1"/>
  <c r="W113" i="1" s="1"/>
  <c r="U114" i="1"/>
  <c r="V114" i="1" s="1"/>
  <c r="W114" i="1" s="1"/>
  <c r="U115" i="1"/>
  <c r="V115" i="1" s="1"/>
  <c r="W115" i="1" s="1"/>
  <c r="U116" i="1"/>
  <c r="V116" i="1" s="1"/>
  <c r="W116" i="1" s="1"/>
  <c r="U117" i="1"/>
  <c r="V117" i="1" s="1"/>
  <c r="W117" i="1" s="1"/>
  <c r="U118" i="1"/>
  <c r="V118" i="1" s="1"/>
  <c r="W118" i="1" s="1"/>
  <c r="U119" i="1"/>
  <c r="V119" i="1" s="1"/>
  <c r="W119" i="1" s="1"/>
  <c r="U120" i="1"/>
  <c r="V120" i="1" s="1"/>
  <c r="W120" i="1" s="1"/>
  <c r="U121" i="1"/>
  <c r="V121" i="1" s="1"/>
  <c r="W121" i="1" s="1"/>
  <c r="U122" i="1"/>
  <c r="V122" i="1" s="1"/>
  <c r="W122" i="1" s="1"/>
  <c r="U123" i="1"/>
  <c r="V123" i="1" s="1"/>
  <c r="W123" i="1" s="1"/>
  <c r="U124" i="1"/>
  <c r="V124" i="1" s="1"/>
  <c r="W124" i="1" s="1"/>
  <c r="U125" i="1"/>
  <c r="V125" i="1" s="1"/>
  <c r="W125" i="1" s="1"/>
  <c r="U126" i="1"/>
  <c r="V126" i="1" s="1"/>
  <c r="W126" i="1" s="1"/>
  <c r="U127" i="1"/>
  <c r="V127" i="1" s="1"/>
  <c r="W127" i="1" s="1"/>
  <c r="U128" i="1"/>
  <c r="V128" i="1" s="1"/>
  <c r="W128" i="1" s="1"/>
  <c r="U129" i="1"/>
  <c r="V129" i="1" s="1"/>
  <c r="W129" i="1" s="1"/>
  <c r="U130" i="1"/>
  <c r="V130" i="1" s="1"/>
  <c r="W130" i="1" s="1"/>
  <c r="U131" i="1"/>
  <c r="V131" i="1" s="1"/>
  <c r="W131" i="1" s="1"/>
  <c r="U132" i="1"/>
  <c r="V132" i="1" s="1"/>
  <c r="W132" i="1" s="1"/>
  <c r="U133" i="1"/>
  <c r="V133" i="1" s="1"/>
  <c r="W133" i="1" s="1"/>
  <c r="U134" i="1"/>
  <c r="V134" i="1" s="1"/>
  <c r="W134" i="1" s="1"/>
  <c r="U135" i="1"/>
  <c r="V135" i="1" s="1"/>
  <c r="W135" i="1" s="1"/>
  <c r="U136" i="1"/>
  <c r="V136" i="1" s="1"/>
  <c r="W136" i="1" s="1"/>
  <c r="U137" i="1"/>
  <c r="V137" i="1" s="1"/>
  <c r="W137" i="1" s="1"/>
  <c r="U138" i="1"/>
  <c r="V138" i="1" s="1"/>
  <c r="W138" i="1" s="1"/>
  <c r="U139" i="1"/>
  <c r="V139" i="1" s="1"/>
  <c r="W139" i="1" s="1"/>
  <c r="U140" i="1"/>
  <c r="V140" i="1" s="1"/>
  <c r="W140" i="1" s="1"/>
  <c r="U141" i="1"/>
  <c r="V141" i="1" s="1"/>
  <c r="W141" i="1" s="1"/>
  <c r="U142" i="1"/>
  <c r="V142" i="1" s="1"/>
  <c r="W142" i="1" s="1"/>
  <c r="U143" i="1"/>
  <c r="V143" i="1" s="1"/>
  <c r="W143" i="1" s="1"/>
  <c r="U144" i="1"/>
  <c r="V144" i="1" s="1"/>
  <c r="W144" i="1" s="1"/>
  <c r="U145" i="1"/>
  <c r="V145" i="1" s="1"/>
  <c r="W145" i="1" s="1"/>
  <c r="U146" i="1"/>
  <c r="V146" i="1" s="1"/>
  <c r="W146" i="1" s="1"/>
  <c r="U147" i="1"/>
  <c r="V147" i="1" s="1"/>
  <c r="W147" i="1" s="1"/>
  <c r="U148" i="1"/>
  <c r="V148" i="1" s="1"/>
  <c r="W148" i="1" s="1"/>
  <c r="U149" i="1"/>
  <c r="V149" i="1" s="1"/>
  <c r="W149" i="1" s="1"/>
  <c r="U150" i="1"/>
  <c r="V150" i="1" s="1"/>
  <c r="W150" i="1" s="1"/>
  <c r="U151" i="1"/>
  <c r="V151" i="1" s="1"/>
  <c r="W151" i="1" s="1"/>
  <c r="U152" i="1"/>
  <c r="V152" i="1" s="1"/>
  <c r="W152" i="1" s="1"/>
  <c r="U153" i="1"/>
  <c r="V153" i="1" s="1"/>
  <c r="W153" i="1" s="1"/>
  <c r="U154" i="1"/>
  <c r="V154" i="1" s="1"/>
  <c r="W154" i="1" s="1"/>
  <c r="U155" i="1"/>
  <c r="V155" i="1" s="1"/>
  <c r="W155" i="1" s="1"/>
  <c r="U156" i="1"/>
  <c r="V156" i="1" s="1"/>
  <c r="W156" i="1" s="1"/>
  <c r="U157" i="1"/>
  <c r="V157" i="1" s="1"/>
  <c r="W157" i="1" s="1"/>
  <c r="U158" i="1"/>
  <c r="V158" i="1" s="1"/>
  <c r="W158" i="1" s="1"/>
  <c r="U159" i="1"/>
  <c r="V159" i="1" s="1"/>
  <c r="W159" i="1" s="1"/>
  <c r="U160" i="1"/>
  <c r="V160" i="1" s="1"/>
  <c r="W160" i="1" s="1"/>
  <c r="U161" i="1"/>
  <c r="V161" i="1" s="1"/>
  <c r="W161" i="1" s="1"/>
  <c r="U162" i="1"/>
  <c r="V162" i="1" s="1"/>
  <c r="W162" i="1" s="1"/>
  <c r="U163" i="1"/>
  <c r="V163" i="1" s="1"/>
  <c r="W163" i="1" s="1"/>
  <c r="U164" i="1"/>
  <c r="V164" i="1" s="1"/>
  <c r="W164" i="1" s="1"/>
  <c r="U165" i="1"/>
  <c r="V165" i="1" s="1"/>
  <c r="W165" i="1" s="1"/>
  <c r="U166" i="1"/>
  <c r="V166" i="1" s="1"/>
  <c r="W166" i="1" s="1"/>
  <c r="U167" i="1"/>
  <c r="V167" i="1" s="1"/>
  <c r="W167" i="1" s="1"/>
  <c r="U168" i="1"/>
  <c r="V168" i="1" s="1"/>
  <c r="W168" i="1" s="1"/>
  <c r="U169" i="1"/>
  <c r="V169" i="1" s="1"/>
  <c r="W169" i="1" s="1"/>
  <c r="U170" i="1"/>
  <c r="V170" i="1" s="1"/>
  <c r="W170" i="1" s="1"/>
  <c r="U171" i="1"/>
  <c r="V171" i="1" s="1"/>
  <c r="W171" i="1" s="1"/>
  <c r="U172" i="1"/>
  <c r="V172" i="1" s="1"/>
  <c r="W172" i="1" s="1"/>
  <c r="U173" i="1"/>
  <c r="V173" i="1" s="1"/>
  <c r="W173" i="1" s="1"/>
  <c r="U174" i="1"/>
  <c r="V174" i="1" s="1"/>
  <c r="W174" i="1" s="1"/>
  <c r="U175" i="1"/>
  <c r="V175" i="1" s="1"/>
  <c r="W175" i="1" s="1"/>
  <c r="U176" i="1"/>
  <c r="V176" i="1" s="1"/>
  <c r="W176" i="1" s="1"/>
  <c r="U177" i="1"/>
  <c r="V177" i="1" s="1"/>
  <c r="W177" i="1" s="1"/>
  <c r="U178" i="1"/>
  <c r="V178" i="1" s="1"/>
  <c r="W178" i="1" s="1"/>
  <c r="U179" i="1"/>
  <c r="V179" i="1" s="1"/>
  <c r="W179" i="1" s="1"/>
  <c r="U180" i="1"/>
  <c r="V180" i="1" s="1"/>
  <c r="W180" i="1" s="1"/>
  <c r="U181" i="1"/>
  <c r="V181" i="1" s="1"/>
  <c r="W181" i="1" s="1"/>
  <c r="U182" i="1"/>
  <c r="V182" i="1" s="1"/>
  <c r="W182" i="1" s="1"/>
  <c r="U183" i="1"/>
  <c r="V183" i="1" s="1"/>
  <c r="W183" i="1" s="1"/>
  <c r="U184" i="1"/>
  <c r="V184" i="1" s="1"/>
  <c r="W184" i="1" s="1"/>
  <c r="U2" i="1"/>
  <c r="V2" i="1" s="1"/>
  <c r="W2" i="1" s="1"/>
  <c r="R3" i="1"/>
  <c r="S3" i="1" s="1"/>
  <c r="T3" i="1" s="1"/>
  <c r="R4" i="1"/>
  <c r="S4" i="1" s="1"/>
  <c r="T4" i="1" s="1"/>
  <c r="R5" i="1"/>
  <c r="S5" i="1" s="1"/>
  <c r="T5" i="1" s="1"/>
  <c r="R6" i="1"/>
  <c r="S6" i="1" s="1"/>
  <c r="T6" i="1" s="1"/>
  <c r="R7" i="1"/>
  <c r="S7" i="1" s="1"/>
  <c r="T7" i="1" s="1"/>
  <c r="R8" i="1"/>
  <c r="S8" i="1" s="1"/>
  <c r="T8" i="1" s="1"/>
  <c r="R9" i="1"/>
  <c r="S9" i="1" s="1"/>
  <c r="T9" i="1" s="1"/>
  <c r="R10" i="1"/>
  <c r="S10" i="1" s="1"/>
  <c r="T10" i="1" s="1"/>
  <c r="R11" i="1"/>
  <c r="S11" i="1" s="1"/>
  <c r="T11" i="1" s="1"/>
  <c r="R12" i="1"/>
  <c r="S12" i="1" s="1"/>
  <c r="T12" i="1" s="1"/>
  <c r="R13" i="1"/>
  <c r="S13" i="1" s="1"/>
  <c r="T13" i="1" s="1"/>
  <c r="R14" i="1"/>
  <c r="S14" i="1" s="1"/>
  <c r="T14" i="1" s="1"/>
  <c r="R15" i="1"/>
  <c r="S15" i="1" s="1"/>
  <c r="T15" i="1" s="1"/>
  <c r="R16" i="1"/>
  <c r="S16" i="1" s="1"/>
  <c r="T16" i="1" s="1"/>
  <c r="R17" i="1"/>
  <c r="S17" i="1" s="1"/>
  <c r="T17" i="1" s="1"/>
  <c r="R18" i="1"/>
  <c r="S18" i="1" s="1"/>
  <c r="T18" i="1" s="1"/>
  <c r="R19" i="1"/>
  <c r="S19" i="1" s="1"/>
  <c r="T19" i="1" s="1"/>
  <c r="R20" i="1"/>
  <c r="S20" i="1" s="1"/>
  <c r="T20" i="1" s="1"/>
  <c r="R21" i="1"/>
  <c r="S21" i="1" s="1"/>
  <c r="T21" i="1" s="1"/>
  <c r="R22" i="1"/>
  <c r="S22" i="1" s="1"/>
  <c r="T22" i="1" s="1"/>
  <c r="R23" i="1"/>
  <c r="S23" i="1" s="1"/>
  <c r="T23" i="1" s="1"/>
  <c r="R24" i="1"/>
  <c r="S24" i="1" s="1"/>
  <c r="T24" i="1" s="1"/>
  <c r="R25" i="1"/>
  <c r="S25" i="1" s="1"/>
  <c r="T25" i="1" s="1"/>
  <c r="R26" i="1"/>
  <c r="S26" i="1" s="1"/>
  <c r="T26" i="1" s="1"/>
  <c r="R27" i="1"/>
  <c r="S27" i="1" s="1"/>
  <c r="T27" i="1" s="1"/>
  <c r="R28" i="1"/>
  <c r="S28" i="1" s="1"/>
  <c r="T28" i="1" s="1"/>
  <c r="R29" i="1"/>
  <c r="S29" i="1" s="1"/>
  <c r="T29" i="1" s="1"/>
  <c r="R30" i="1"/>
  <c r="S30" i="1" s="1"/>
  <c r="T30" i="1" s="1"/>
  <c r="R31" i="1"/>
  <c r="S31" i="1" s="1"/>
  <c r="T31" i="1" s="1"/>
  <c r="R32" i="1"/>
  <c r="S32" i="1" s="1"/>
  <c r="T32" i="1" s="1"/>
  <c r="R33" i="1"/>
  <c r="S33" i="1" s="1"/>
  <c r="T33" i="1" s="1"/>
  <c r="R34" i="1"/>
  <c r="S34" i="1" s="1"/>
  <c r="T34" i="1" s="1"/>
  <c r="R35" i="1"/>
  <c r="S35" i="1" s="1"/>
  <c r="T35" i="1" s="1"/>
  <c r="R36" i="1"/>
  <c r="S36" i="1" s="1"/>
  <c r="T36" i="1" s="1"/>
  <c r="R37" i="1"/>
  <c r="S37" i="1" s="1"/>
  <c r="T37" i="1" s="1"/>
  <c r="R38" i="1"/>
  <c r="S38" i="1" s="1"/>
  <c r="T38" i="1" s="1"/>
  <c r="R39" i="1"/>
  <c r="S39" i="1" s="1"/>
  <c r="T39" i="1" s="1"/>
  <c r="R40" i="1"/>
  <c r="S40" i="1" s="1"/>
  <c r="T40" i="1" s="1"/>
  <c r="R41" i="1"/>
  <c r="S41" i="1" s="1"/>
  <c r="T41" i="1" s="1"/>
  <c r="R42" i="1"/>
  <c r="S42" i="1" s="1"/>
  <c r="T42" i="1" s="1"/>
  <c r="R43" i="1"/>
  <c r="S43" i="1" s="1"/>
  <c r="T43" i="1" s="1"/>
  <c r="R44" i="1"/>
  <c r="S44" i="1" s="1"/>
  <c r="T44" i="1" s="1"/>
  <c r="R45" i="1"/>
  <c r="S45" i="1" s="1"/>
  <c r="T45" i="1" s="1"/>
  <c r="R46" i="1"/>
  <c r="S46" i="1" s="1"/>
  <c r="T46" i="1" s="1"/>
  <c r="R47" i="1"/>
  <c r="S47" i="1" s="1"/>
  <c r="T47" i="1" s="1"/>
  <c r="R48" i="1"/>
  <c r="S48" i="1" s="1"/>
  <c r="T48" i="1" s="1"/>
  <c r="R49" i="1"/>
  <c r="S49" i="1" s="1"/>
  <c r="T49" i="1" s="1"/>
  <c r="R50" i="1"/>
  <c r="S50" i="1" s="1"/>
  <c r="T50" i="1" s="1"/>
  <c r="R51" i="1"/>
  <c r="S51" i="1" s="1"/>
  <c r="T51" i="1" s="1"/>
  <c r="R52" i="1"/>
  <c r="S52" i="1" s="1"/>
  <c r="T52" i="1" s="1"/>
  <c r="R53" i="1"/>
  <c r="S53" i="1" s="1"/>
  <c r="T53" i="1" s="1"/>
  <c r="R54" i="1"/>
  <c r="S54" i="1" s="1"/>
  <c r="T54" i="1" s="1"/>
  <c r="R55" i="1"/>
  <c r="S55" i="1" s="1"/>
  <c r="T55" i="1" s="1"/>
  <c r="R56" i="1"/>
  <c r="S56" i="1" s="1"/>
  <c r="T56" i="1" s="1"/>
  <c r="R57" i="1"/>
  <c r="S57" i="1" s="1"/>
  <c r="T57" i="1" s="1"/>
  <c r="R58" i="1"/>
  <c r="S58" i="1" s="1"/>
  <c r="T58" i="1" s="1"/>
  <c r="R59" i="1"/>
  <c r="S59" i="1" s="1"/>
  <c r="T59" i="1" s="1"/>
  <c r="R60" i="1"/>
  <c r="S60" i="1" s="1"/>
  <c r="T60" i="1" s="1"/>
  <c r="R61" i="1"/>
  <c r="S61" i="1" s="1"/>
  <c r="T61" i="1" s="1"/>
  <c r="R62" i="1"/>
  <c r="S62" i="1" s="1"/>
  <c r="T62" i="1" s="1"/>
  <c r="R63" i="1"/>
  <c r="S63" i="1" s="1"/>
  <c r="T63" i="1" s="1"/>
  <c r="R64" i="1"/>
  <c r="S64" i="1" s="1"/>
  <c r="T64" i="1" s="1"/>
  <c r="R65" i="1"/>
  <c r="S65" i="1" s="1"/>
  <c r="T65" i="1" s="1"/>
  <c r="R66" i="1"/>
  <c r="S66" i="1" s="1"/>
  <c r="T66" i="1" s="1"/>
  <c r="R67" i="1"/>
  <c r="S67" i="1" s="1"/>
  <c r="T67" i="1" s="1"/>
  <c r="R68" i="1"/>
  <c r="S68" i="1" s="1"/>
  <c r="T68" i="1" s="1"/>
  <c r="R69" i="1"/>
  <c r="S69" i="1" s="1"/>
  <c r="T69" i="1" s="1"/>
  <c r="R70" i="1"/>
  <c r="S70" i="1" s="1"/>
  <c r="T70" i="1" s="1"/>
  <c r="R71" i="1"/>
  <c r="S71" i="1" s="1"/>
  <c r="T71" i="1" s="1"/>
  <c r="R72" i="1"/>
  <c r="S72" i="1" s="1"/>
  <c r="T72" i="1" s="1"/>
  <c r="R73" i="1"/>
  <c r="S73" i="1" s="1"/>
  <c r="T73" i="1" s="1"/>
  <c r="R74" i="1"/>
  <c r="S74" i="1" s="1"/>
  <c r="T74" i="1" s="1"/>
  <c r="R75" i="1"/>
  <c r="S75" i="1" s="1"/>
  <c r="T75" i="1" s="1"/>
  <c r="R76" i="1"/>
  <c r="S76" i="1" s="1"/>
  <c r="T76" i="1" s="1"/>
  <c r="R77" i="1"/>
  <c r="S77" i="1" s="1"/>
  <c r="T77" i="1" s="1"/>
  <c r="R78" i="1"/>
  <c r="S78" i="1" s="1"/>
  <c r="T78" i="1" s="1"/>
  <c r="R79" i="1"/>
  <c r="S79" i="1" s="1"/>
  <c r="T79" i="1" s="1"/>
  <c r="R80" i="1"/>
  <c r="S80" i="1" s="1"/>
  <c r="T80" i="1" s="1"/>
  <c r="R81" i="1"/>
  <c r="S81" i="1" s="1"/>
  <c r="T81" i="1" s="1"/>
  <c r="R82" i="1"/>
  <c r="S82" i="1" s="1"/>
  <c r="T82" i="1" s="1"/>
  <c r="R83" i="1"/>
  <c r="S83" i="1" s="1"/>
  <c r="T83" i="1" s="1"/>
  <c r="R84" i="1"/>
  <c r="S84" i="1" s="1"/>
  <c r="T84" i="1" s="1"/>
  <c r="R85" i="1"/>
  <c r="S85" i="1" s="1"/>
  <c r="T85" i="1" s="1"/>
  <c r="R86" i="1"/>
  <c r="S86" i="1" s="1"/>
  <c r="T86" i="1" s="1"/>
  <c r="R87" i="1"/>
  <c r="S87" i="1" s="1"/>
  <c r="T87" i="1" s="1"/>
  <c r="R88" i="1"/>
  <c r="S88" i="1" s="1"/>
  <c r="T88" i="1" s="1"/>
  <c r="R89" i="1"/>
  <c r="S89" i="1" s="1"/>
  <c r="T89" i="1" s="1"/>
  <c r="R90" i="1"/>
  <c r="S90" i="1" s="1"/>
  <c r="T90" i="1" s="1"/>
  <c r="R91" i="1"/>
  <c r="S91" i="1" s="1"/>
  <c r="T91" i="1" s="1"/>
  <c r="R92" i="1"/>
  <c r="S92" i="1" s="1"/>
  <c r="T92" i="1" s="1"/>
  <c r="R93" i="1"/>
  <c r="S93" i="1" s="1"/>
  <c r="T93" i="1" s="1"/>
  <c r="R94" i="1"/>
  <c r="S94" i="1" s="1"/>
  <c r="T94" i="1" s="1"/>
  <c r="R95" i="1"/>
  <c r="S95" i="1" s="1"/>
  <c r="T95" i="1" s="1"/>
  <c r="R96" i="1"/>
  <c r="S96" i="1" s="1"/>
  <c r="T96" i="1" s="1"/>
  <c r="R97" i="1"/>
  <c r="S97" i="1" s="1"/>
  <c r="T97" i="1" s="1"/>
  <c r="R98" i="1"/>
  <c r="S98" i="1" s="1"/>
  <c r="T98" i="1" s="1"/>
  <c r="R99" i="1"/>
  <c r="S99" i="1" s="1"/>
  <c r="T99" i="1" s="1"/>
  <c r="R100" i="1"/>
  <c r="S100" i="1" s="1"/>
  <c r="T100" i="1" s="1"/>
  <c r="R101" i="1"/>
  <c r="S101" i="1" s="1"/>
  <c r="T101" i="1" s="1"/>
  <c r="R102" i="1"/>
  <c r="S102" i="1" s="1"/>
  <c r="T102" i="1" s="1"/>
  <c r="R103" i="1"/>
  <c r="S103" i="1" s="1"/>
  <c r="T103" i="1" s="1"/>
  <c r="R104" i="1"/>
  <c r="S104" i="1" s="1"/>
  <c r="T104" i="1" s="1"/>
  <c r="R105" i="1"/>
  <c r="S105" i="1" s="1"/>
  <c r="T105" i="1" s="1"/>
  <c r="R106" i="1"/>
  <c r="S106" i="1" s="1"/>
  <c r="T106" i="1" s="1"/>
  <c r="R107" i="1"/>
  <c r="S107" i="1" s="1"/>
  <c r="T107" i="1" s="1"/>
  <c r="R108" i="1"/>
  <c r="S108" i="1" s="1"/>
  <c r="T108" i="1" s="1"/>
  <c r="R109" i="1"/>
  <c r="S109" i="1" s="1"/>
  <c r="T109" i="1" s="1"/>
  <c r="R110" i="1"/>
  <c r="S110" i="1" s="1"/>
  <c r="T110" i="1" s="1"/>
  <c r="R111" i="1"/>
  <c r="S111" i="1" s="1"/>
  <c r="T111" i="1" s="1"/>
  <c r="R112" i="1"/>
  <c r="S112" i="1" s="1"/>
  <c r="T112" i="1" s="1"/>
  <c r="R113" i="1"/>
  <c r="S113" i="1" s="1"/>
  <c r="T113" i="1" s="1"/>
  <c r="R114" i="1"/>
  <c r="S114" i="1" s="1"/>
  <c r="T114" i="1" s="1"/>
  <c r="R115" i="1"/>
  <c r="S115" i="1" s="1"/>
  <c r="T115" i="1" s="1"/>
  <c r="R116" i="1"/>
  <c r="S116" i="1" s="1"/>
  <c r="T116" i="1" s="1"/>
  <c r="R117" i="1"/>
  <c r="S117" i="1" s="1"/>
  <c r="T117" i="1" s="1"/>
  <c r="R118" i="1"/>
  <c r="S118" i="1" s="1"/>
  <c r="T118" i="1" s="1"/>
  <c r="R119" i="1"/>
  <c r="S119" i="1" s="1"/>
  <c r="T119" i="1" s="1"/>
  <c r="R120" i="1"/>
  <c r="S120" i="1" s="1"/>
  <c r="T120" i="1" s="1"/>
  <c r="R121" i="1"/>
  <c r="S121" i="1" s="1"/>
  <c r="T121" i="1" s="1"/>
  <c r="R122" i="1"/>
  <c r="S122" i="1" s="1"/>
  <c r="T122" i="1" s="1"/>
  <c r="R123" i="1"/>
  <c r="S123" i="1" s="1"/>
  <c r="T123" i="1" s="1"/>
  <c r="R124" i="1"/>
  <c r="S124" i="1" s="1"/>
  <c r="T124" i="1" s="1"/>
  <c r="R125" i="1"/>
  <c r="S125" i="1" s="1"/>
  <c r="T125" i="1" s="1"/>
  <c r="R126" i="1"/>
  <c r="S126" i="1" s="1"/>
  <c r="T126" i="1" s="1"/>
  <c r="R127" i="1"/>
  <c r="S127" i="1" s="1"/>
  <c r="T127" i="1" s="1"/>
  <c r="R128" i="1"/>
  <c r="S128" i="1" s="1"/>
  <c r="T128" i="1" s="1"/>
  <c r="R129" i="1"/>
  <c r="S129" i="1" s="1"/>
  <c r="T129" i="1" s="1"/>
  <c r="R130" i="1"/>
  <c r="S130" i="1" s="1"/>
  <c r="T130" i="1" s="1"/>
  <c r="R131" i="1"/>
  <c r="S131" i="1" s="1"/>
  <c r="T131" i="1" s="1"/>
  <c r="R132" i="1"/>
  <c r="S132" i="1" s="1"/>
  <c r="T132" i="1" s="1"/>
  <c r="R133" i="1"/>
  <c r="S133" i="1" s="1"/>
  <c r="T133" i="1" s="1"/>
  <c r="R134" i="1"/>
  <c r="S134" i="1" s="1"/>
  <c r="T134" i="1" s="1"/>
  <c r="R135" i="1"/>
  <c r="S135" i="1" s="1"/>
  <c r="T135" i="1" s="1"/>
  <c r="R136" i="1"/>
  <c r="S136" i="1" s="1"/>
  <c r="T136" i="1" s="1"/>
  <c r="R137" i="1"/>
  <c r="S137" i="1" s="1"/>
  <c r="T137" i="1" s="1"/>
  <c r="R138" i="1"/>
  <c r="S138" i="1" s="1"/>
  <c r="T138" i="1" s="1"/>
  <c r="R139" i="1"/>
  <c r="S139" i="1" s="1"/>
  <c r="T139" i="1" s="1"/>
  <c r="R140" i="1"/>
  <c r="S140" i="1" s="1"/>
  <c r="T140" i="1" s="1"/>
  <c r="R141" i="1"/>
  <c r="S141" i="1" s="1"/>
  <c r="T141" i="1" s="1"/>
  <c r="R142" i="1"/>
  <c r="S142" i="1" s="1"/>
  <c r="T142" i="1" s="1"/>
  <c r="R143" i="1"/>
  <c r="S143" i="1" s="1"/>
  <c r="T143" i="1" s="1"/>
  <c r="R144" i="1"/>
  <c r="S144" i="1" s="1"/>
  <c r="T144" i="1" s="1"/>
  <c r="R145" i="1"/>
  <c r="S145" i="1" s="1"/>
  <c r="T145" i="1" s="1"/>
  <c r="R146" i="1"/>
  <c r="S146" i="1" s="1"/>
  <c r="T146" i="1" s="1"/>
  <c r="R147" i="1"/>
  <c r="S147" i="1" s="1"/>
  <c r="T147" i="1" s="1"/>
  <c r="R148" i="1"/>
  <c r="S148" i="1" s="1"/>
  <c r="T148" i="1" s="1"/>
  <c r="R149" i="1"/>
  <c r="S149" i="1" s="1"/>
  <c r="T149" i="1" s="1"/>
  <c r="R150" i="1"/>
  <c r="S150" i="1" s="1"/>
  <c r="T150" i="1" s="1"/>
  <c r="R151" i="1"/>
  <c r="S151" i="1" s="1"/>
  <c r="T151" i="1" s="1"/>
  <c r="R152" i="1"/>
  <c r="S152" i="1" s="1"/>
  <c r="T152" i="1" s="1"/>
  <c r="R153" i="1"/>
  <c r="S153" i="1" s="1"/>
  <c r="T153" i="1" s="1"/>
  <c r="R154" i="1"/>
  <c r="S154" i="1" s="1"/>
  <c r="T154" i="1" s="1"/>
  <c r="R155" i="1"/>
  <c r="S155" i="1" s="1"/>
  <c r="T155" i="1" s="1"/>
  <c r="R156" i="1"/>
  <c r="S156" i="1" s="1"/>
  <c r="T156" i="1" s="1"/>
  <c r="R157" i="1"/>
  <c r="S157" i="1" s="1"/>
  <c r="T157" i="1" s="1"/>
  <c r="R158" i="1"/>
  <c r="S158" i="1" s="1"/>
  <c r="T158" i="1" s="1"/>
  <c r="R159" i="1"/>
  <c r="S159" i="1" s="1"/>
  <c r="T159" i="1" s="1"/>
  <c r="R160" i="1"/>
  <c r="S160" i="1" s="1"/>
  <c r="T160" i="1" s="1"/>
  <c r="R161" i="1"/>
  <c r="S161" i="1" s="1"/>
  <c r="T161" i="1" s="1"/>
  <c r="R162" i="1"/>
  <c r="S162" i="1" s="1"/>
  <c r="T162" i="1" s="1"/>
  <c r="R163" i="1"/>
  <c r="S163" i="1" s="1"/>
  <c r="T163" i="1" s="1"/>
  <c r="R164" i="1"/>
  <c r="S164" i="1" s="1"/>
  <c r="T164" i="1" s="1"/>
  <c r="R165" i="1"/>
  <c r="S165" i="1" s="1"/>
  <c r="T165" i="1" s="1"/>
  <c r="R166" i="1"/>
  <c r="S166" i="1" s="1"/>
  <c r="T166" i="1" s="1"/>
  <c r="R167" i="1"/>
  <c r="S167" i="1" s="1"/>
  <c r="T167" i="1" s="1"/>
  <c r="R168" i="1"/>
  <c r="S168" i="1" s="1"/>
  <c r="T168" i="1" s="1"/>
  <c r="R169" i="1"/>
  <c r="S169" i="1" s="1"/>
  <c r="T169" i="1" s="1"/>
  <c r="R170" i="1"/>
  <c r="S170" i="1" s="1"/>
  <c r="T170" i="1" s="1"/>
  <c r="R171" i="1"/>
  <c r="S171" i="1" s="1"/>
  <c r="T171" i="1" s="1"/>
  <c r="R172" i="1"/>
  <c r="S172" i="1" s="1"/>
  <c r="T172" i="1" s="1"/>
  <c r="R173" i="1"/>
  <c r="S173" i="1" s="1"/>
  <c r="T173" i="1" s="1"/>
  <c r="R174" i="1"/>
  <c r="S174" i="1" s="1"/>
  <c r="T174" i="1" s="1"/>
  <c r="R175" i="1"/>
  <c r="S175" i="1" s="1"/>
  <c r="T175" i="1" s="1"/>
  <c r="R176" i="1"/>
  <c r="S176" i="1" s="1"/>
  <c r="T176" i="1" s="1"/>
  <c r="R177" i="1"/>
  <c r="S177" i="1" s="1"/>
  <c r="T177" i="1" s="1"/>
  <c r="R178" i="1"/>
  <c r="S178" i="1" s="1"/>
  <c r="T178" i="1" s="1"/>
  <c r="R179" i="1"/>
  <c r="S179" i="1" s="1"/>
  <c r="T179" i="1" s="1"/>
  <c r="R180" i="1"/>
  <c r="S180" i="1" s="1"/>
  <c r="T180" i="1" s="1"/>
  <c r="R181" i="1"/>
  <c r="S181" i="1" s="1"/>
  <c r="T181" i="1" s="1"/>
  <c r="R182" i="1"/>
  <c r="S182" i="1" s="1"/>
  <c r="T182" i="1" s="1"/>
  <c r="R183" i="1"/>
  <c r="S183" i="1" s="1"/>
  <c r="T183" i="1" s="1"/>
  <c r="R184" i="1"/>
  <c r="S184" i="1" s="1"/>
  <c r="T184" i="1" s="1"/>
  <c r="R2" i="1"/>
  <c r="S2" i="1" s="1"/>
  <c r="T2" i="1" s="1"/>
  <c r="AD184" i="2" l="1"/>
  <c r="AE184" i="2" s="1"/>
  <c r="AF184" i="2" s="1"/>
  <c r="AG184" i="2" s="1"/>
  <c r="AD180" i="2"/>
  <c r="AE180" i="2" s="1"/>
  <c r="AF180" i="2" s="1"/>
  <c r="AG180" i="2" s="1"/>
  <c r="AD176" i="2"/>
  <c r="AE176" i="2" s="1"/>
  <c r="AF176" i="2" s="1"/>
  <c r="AG176" i="2" s="1"/>
  <c r="AD172" i="2"/>
  <c r="AE172" i="2" s="1"/>
  <c r="AF172" i="2" s="1"/>
  <c r="AG172" i="2" s="1"/>
  <c r="AD168" i="2"/>
  <c r="AE168" i="2" s="1"/>
  <c r="AF168" i="2" s="1"/>
  <c r="AG168" i="2" s="1"/>
  <c r="AD164" i="2"/>
  <c r="AE164" i="2" s="1"/>
  <c r="AF164" i="2" s="1"/>
  <c r="AG164" i="2" s="1"/>
  <c r="AD160" i="2"/>
  <c r="AE160" i="2" s="1"/>
  <c r="AF160" i="2" s="1"/>
  <c r="AG160" i="2" s="1"/>
  <c r="AD156" i="2"/>
  <c r="AE156" i="2" s="1"/>
  <c r="AF156" i="2" s="1"/>
  <c r="AG156" i="2" s="1"/>
  <c r="AD152" i="2"/>
  <c r="AE152" i="2" s="1"/>
  <c r="AF152" i="2" s="1"/>
  <c r="AG152" i="2" s="1"/>
  <c r="AD148" i="2"/>
  <c r="AE148" i="2" s="1"/>
  <c r="AF148" i="2" s="1"/>
  <c r="AG148" i="2" s="1"/>
  <c r="AD144" i="2"/>
  <c r="AE144" i="2" s="1"/>
  <c r="AF144" i="2" s="1"/>
  <c r="AG144" i="2" s="1"/>
  <c r="AD140" i="2"/>
  <c r="AE140" i="2" s="1"/>
  <c r="AF140" i="2" s="1"/>
  <c r="AG140" i="2" s="1"/>
  <c r="AD136" i="2"/>
  <c r="AE136" i="2" s="1"/>
  <c r="AF136" i="2" s="1"/>
  <c r="AG136" i="2" s="1"/>
  <c r="AD132" i="2"/>
  <c r="AE132" i="2" s="1"/>
  <c r="AF132" i="2" s="1"/>
  <c r="AG132" i="2" s="1"/>
  <c r="AD128" i="2"/>
  <c r="AE128" i="2" s="1"/>
  <c r="AF128" i="2" s="1"/>
  <c r="AG128" i="2" s="1"/>
  <c r="AD124" i="2"/>
  <c r="AE124" i="2" s="1"/>
  <c r="AF124" i="2" s="1"/>
  <c r="AG124" i="2" s="1"/>
  <c r="AD120" i="2"/>
  <c r="AE120" i="2" s="1"/>
  <c r="AF120" i="2" s="1"/>
  <c r="AG120" i="2" s="1"/>
  <c r="AD116" i="2"/>
  <c r="AE116" i="2" s="1"/>
  <c r="AF116" i="2" s="1"/>
  <c r="AG116" i="2" s="1"/>
  <c r="AD112" i="2"/>
  <c r="AE112" i="2" s="1"/>
  <c r="AF112" i="2" s="1"/>
  <c r="AG112" i="2" s="1"/>
  <c r="AD108" i="2"/>
  <c r="AE108" i="2" s="1"/>
  <c r="AF108" i="2" s="1"/>
  <c r="AG108" i="2" s="1"/>
  <c r="AD104" i="2"/>
  <c r="AE104" i="2" s="1"/>
  <c r="AF104" i="2" s="1"/>
  <c r="AG104" i="2" s="1"/>
  <c r="AD100" i="2"/>
  <c r="AE100" i="2" s="1"/>
  <c r="AF100" i="2" s="1"/>
  <c r="AG100" i="2" s="1"/>
  <c r="AD96" i="2"/>
  <c r="AE96" i="2" s="1"/>
  <c r="AF96" i="2" s="1"/>
  <c r="AG96" i="2" s="1"/>
  <c r="AD92" i="2"/>
  <c r="AE92" i="2" s="1"/>
  <c r="AF92" i="2" s="1"/>
  <c r="AG92" i="2" s="1"/>
  <c r="AD88" i="2"/>
  <c r="AE88" i="2" s="1"/>
  <c r="AF88" i="2" s="1"/>
  <c r="AG88" i="2" s="1"/>
  <c r="AD84" i="2"/>
  <c r="AE84" i="2" s="1"/>
  <c r="AF84" i="2" s="1"/>
  <c r="AG84" i="2" s="1"/>
  <c r="AD80" i="2"/>
  <c r="AE80" i="2" s="1"/>
  <c r="AF80" i="2" s="1"/>
  <c r="AG80" i="2" s="1"/>
  <c r="AD76" i="2"/>
  <c r="AE76" i="2" s="1"/>
  <c r="AF76" i="2" s="1"/>
  <c r="AG76" i="2" s="1"/>
  <c r="AD72" i="2"/>
  <c r="AE72" i="2" s="1"/>
  <c r="AF72" i="2" s="1"/>
  <c r="AG72" i="2" s="1"/>
  <c r="AD68" i="2"/>
  <c r="AE68" i="2" s="1"/>
  <c r="AF68" i="2" s="1"/>
  <c r="AG68" i="2" s="1"/>
  <c r="AD64" i="2"/>
  <c r="AE64" i="2" s="1"/>
  <c r="AF64" i="2" s="1"/>
  <c r="AG64" i="2" s="1"/>
  <c r="AD60" i="2"/>
  <c r="AE60" i="2" s="1"/>
  <c r="AF60" i="2" s="1"/>
  <c r="AG60" i="2" s="1"/>
  <c r="AD56" i="2"/>
  <c r="AE56" i="2" s="1"/>
  <c r="AF56" i="2" s="1"/>
  <c r="AG56" i="2" s="1"/>
  <c r="AD52" i="2"/>
  <c r="AE52" i="2" s="1"/>
  <c r="AF52" i="2" s="1"/>
  <c r="AG52" i="2" s="1"/>
  <c r="AD48" i="2"/>
  <c r="AE48" i="2" s="1"/>
  <c r="AF48" i="2" s="1"/>
  <c r="AG48" i="2" s="1"/>
  <c r="AD44" i="2"/>
  <c r="AE44" i="2" s="1"/>
  <c r="AF44" i="2" s="1"/>
  <c r="AG44" i="2" s="1"/>
  <c r="AD40" i="2"/>
  <c r="AE40" i="2" s="1"/>
  <c r="AF40" i="2" s="1"/>
  <c r="AG40" i="2" s="1"/>
  <c r="AD36" i="2"/>
  <c r="AE36" i="2" s="1"/>
  <c r="AF36" i="2" s="1"/>
  <c r="AG36" i="2" s="1"/>
  <c r="AD32" i="2"/>
  <c r="AE32" i="2" s="1"/>
  <c r="AF32" i="2" s="1"/>
  <c r="AG32" i="2" s="1"/>
  <c r="AD28" i="2"/>
  <c r="AE28" i="2" s="1"/>
  <c r="AF28" i="2" s="1"/>
  <c r="AG28" i="2" s="1"/>
  <c r="AD24" i="2"/>
  <c r="AE24" i="2" s="1"/>
  <c r="AF24" i="2" s="1"/>
  <c r="AG24" i="2" s="1"/>
  <c r="AD20" i="2"/>
  <c r="AE20" i="2" s="1"/>
  <c r="AF20" i="2" s="1"/>
  <c r="AG20" i="2" s="1"/>
  <c r="AD16" i="2"/>
  <c r="AE16" i="2" s="1"/>
  <c r="AF16" i="2" s="1"/>
  <c r="AG16" i="2" s="1"/>
  <c r="AD12" i="2"/>
  <c r="AE12" i="2" s="1"/>
  <c r="AF12" i="2" s="1"/>
  <c r="AG12" i="2" s="1"/>
  <c r="AD8" i="2"/>
  <c r="AE8" i="2" s="1"/>
  <c r="AF8" i="2" s="1"/>
  <c r="AG8" i="2" s="1"/>
  <c r="AD159" i="2"/>
  <c r="AE159" i="2" s="1"/>
  <c r="AF159" i="2" s="1"/>
  <c r="AG159" i="2" s="1"/>
  <c r="AD155" i="2"/>
  <c r="AE155" i="2" s="1"/>
  <c r="AF155" i="2" s="1"/>
  <c r="AG155" i="2" s="1"/>
  <c r="AD151" i="2"/>
  <c r="AE151" i="2" s="1"/>
  <c r="AF151" i="2" s="1"/>
  <c r="AG151" i="2" s="1"/>
  <c r="AD147" i="2"/>
  <c r="AE147" i="2" s="1"/>
  <c r="AF147" i="2" s="1"/>
  <c r="AG147" i="2" s="1"/>
  <c r="AD143" i="2"/>
  <c r="AE143" i="2" s="1"/>
  <c r="AF143" i="2" s="1"/>
  <c r="AG143" i="2" s="1"/>
  <c r="AD139" i="2"/>
  <c r="AE139" i="2" s="1"/>
  <c r="AF139" i="2" s="1"/>
  <c r="AG139" i="2" s="1"/>
  <c r="AD135" i="2"/>
  <c r="AE135" i="2" s="1"/>
  <c r="AF135" i="2" s="1"/>
  <c r="AG135" i="2" s="1"/>
  <c r="AD131" i="2"/>
  <c r="AE131" i="2" s="1"/>
  <c r="AF131" i="2" s="1"/>
  <c r="AG131" i="2" s="1"/>
  <c r="AD127" i="2"/>
  <c r="AE127" i="2" s="1"/>
  <c r="AF127" i="2" s="1"/>
  <c r="AG127" i="2" s="1"/>
  <c r="AD123" i="2"/>
  <c r="AE123" i="2" s="1"/>
  <c r="AF123" i="2" s="1"/>
  <c r="AG123" i="2" s="1"/>
  <c r="AD119" i="2"/>
  <c r="AE119" i="2" s="1"/>
  <c r="AF119" i="2" s="1"/>
  <c r="AG119" i="2" s="1"/>
  <c r="AD115" i="2"/>
  <c r="AE115" i="2" s="1"/>
  <c r="AF115" i="2" s="1"/>
  <c r="AG115" i="2" s="1"/>
  <c r="AD111" i="2"/>
  <c r="AE111" i="2" s="1"/>
  <c r="AF111" i="2" s="1"/>
  <c r="AG111" i="2" s="1"/>
  <c r="AD107" i="2"/>
  <c r="AE107" i="2" s="1"/>
  <c r="AF107" i="2" s="1"/>
  <c r="AG107" i="2" s="1"/>
  <c r="AD103" i="2"/>
  <c r="AE103" i="2" s="1"/>
  <c r="AF103" i="2" s="1"/>
  <c r="AG103" i="2" s="1"/>
  <c r="AD99" i="2"/>
  <c r="AE99" i="2" s="1"/>
  <c r="AF99" i="2" s="1"/>
  <c r="AG99" i="2" s="1"/>
  <c r="AD95" i="2"/>
  <c r="AE95" i="2" s="1"/>
  <c r="AF95" i="2" s="1"/>
  <c r="AG95" i="2" s="1"/>
  <c r="AD91" i="2"/>
  <c r="AE91" i="2" s="1"/>
  <c r="AF91" i="2" s="1"/>
  <c r="AG91" i="2" s="1"/>
  <c r="AD87" i="2"/>
  <c r="AE87" i="2" s="1"/>
  <c r="AF87" i="2" s="1"/>
  <c r="AG87" i="2" s="1"/>
  <c r="AD83" i="2"/>
  <c r="AE83" i="2" s="1"/>
  <c r="AF83" i="2" s="1"/>
  <c r="AG83" i="2" s="1"/>
  <c r="AD79" i="2"/>
  <c r="AE79" i="2" s="1"/>
  <c r="AF79" i="2" s="1"/>
  <c r="AG79" i="2" s="1"/>
  <c r="AD75" i="2"/>
  <c r="AE75" i="2" s="1"/>
  <c r="AF75" i="2" s="1"/>
  <c r="AG75" i="2" s="1"/>
  <c r="AD71" i="2"/>
  <c r="AE71" i="2" s="1"/>
  <c r="AF71" i="2" s="1"/>
  <c r="AG71" i="2" s="1"/>
  <c r="AD67" i="2"/>
  <c r="AE67" i="2" s="1"/>
  <c r="AF67" i="2" s="1"/>
  <c r="AG67" i="2" s="1"/>
  <c r="AD63" i="2"/>
  <c r="AE63" i="2" s="1"/>
  <c r="AF63" i="2" s="1"/>
  <c r="AG63" i="2" s="1"/>
  <c r="AD59" i="2"/>
  <c r="AE59" i="2" s="1"/>
  <c r="AF59" i="2" s="1"/>
  <c r="AG59" i="2" s="1"/>
  <c r="AD55" i="2"/>
  <c r="AE55" i="2" s="1"/>
  <c r="AF55" i="2" s="1"/>
  <c r="AG55" i="2" s="1"/>
  <c r="AD51" i="2"/>
  <c r="AE51" i="2" s="1"/>
  <c r="AF51" i="2" s="1"/>
  <c r="AG51" i="2" s="1"/>
  <c r="AD47" i="2"/>
  <c r="AE47" i="2" s="1"/>
  <c r="AF47" i="2" s="1"/>
  <c r="AG47" i="2" s="1"/>
  <c r="AD43" i="2"/>
  <c r="AE43" i="2" s="1"/>
  <c r="AF43" i="2" s="1"/>
  <c r="AG43" i="2" s="1"/>
  <c r="AD39" i="2"/>
  <c r="AE39" i="2" s="1"/>
  <c r="AF39" i="2" s="1"/>
  <c r="AG39" i="2" s="1"/>
  <c r="AD35" i="2"/>
  <c r="AE35" i="2" s="1"/>
  <c r="AF35" i="2" s="1"/>
  <c r="AG35" i="2" s="1"/>
  <c r="AD31" i="2"/>
  <c r="AE31" i="2" s="1"/>
  <c r="AF31" i="2" s="1"/>
  <c r="AG31" i="2" s="1"/>
  <c r="AD27" i="2"/>
  <c r="AE27" i="2" s="1"/>
  <c r="AF27" i="2" s="1"/>
  <c r="AG27" i="2" s="1"/>
  <c r="AD23" i="2"/>
  <c r="AE23" i="2" s="1"/>
  <c r="AF23" i="2" s="1"/>
  <c r="AG23" i="2" s="1"/>
  <c r="AD19" i="2"/>
  <c r="AE19" i="2" s="1"/>
  <c r="AF19" i="2" s="1"/>
  <c r="AG19" i="2" s="1"/>
  <c r="AD15" i="2"/>
  <c r="AE15" i="2" s="1"/>
  <c r="AF15" i="2" s="1"/>
  <c r="AG15" i="2" s="1"/>
  <c r="AD11" i="2"/>
  <c r="AE11" i="2" s="1"/>
  <c r="AF11" i="2" s="1"/>
  <c r="AG11" i="2" s="1"/>
  <c r="AD7" i="2"/>
  <c r="AE7" i="2" s="1"/>
  <c r="AF7" i="2" s="1"/>
  <c r="AG7" i="2" s="1"/>
  <c r="AD6" i="2"/>
  <c r="AE6" i="2" s="1"/>
  <c r="AF6" i="2" s="1"/>
  <c r="AG6" i="2" s="1"/>
  <c r="AD2" i="2"/>
  <c r="AE2" i="2" s="1"/>
  <c r="AD4" i="2"/>
  <c r="AE4" i="2" s="1"/>
  <c r="AF4" i="2" s="1"/>
  <c r="AG4" i="2" s="1"/>
  <c r="AD3" i="2"/>
  <c r="AE3" i="2" s="1"/>
  <c r="AF3" i="2" s="1"/>
  <c r="AG3" i="2" s="1"/>
  <c r="AH33" i="1"/>
  <c r="AH32" i="1"/>
  <c r="AH31" i="1"/>
  <c r="AH30" i="1"/>
  <c r="AH25" i="1"/>
  <c r="AH24" i="1"/>
  <c r="AH23" i="1"/>
  <c r="AH22" i="1"/>
  <c r="AH17" i="1"/>
  <c r="AH16" i="1"/>
  <c r="AH15" i="1"/>
  <c r="AH14" i="1"/>
  <c r="AS7" i="1"/>
  <c r="AS8" i="1" s="1"/>
  <c r="C191" i="1"/>
  <c r="C197" i="1" s="1"/>
  <c r="AN7" i="1" s="1"/>
  <c r="D191" i="1"/>
  <c r="D197" i="1" s="1"/>
  <c r="AN8" i="1" s="1"/>
  <c r="E191" i="1"/>
  <c r="E197" i="1" s="1"/>
  <c r="AN9" i="1" s="1"/>
  <c r="F191" i="1"/>
  <c r="F197" i="1" s="1"/>
  <c r="AN14" i="1" s="1"/>
  <c r="G191" i="1"/>
  <c r="G197" i="1" s="1"/>
  <c r="AN15" i="1" s="1"/>
  <c r="H191" i="1"/>
  <c r="H197" i="1" s="1"/>
  <c r="AN16" i="1" s="1"/>
  <c r="I191" i="1"/>
  <c r="I197" i="1" s="1"/>
  <c r="AN17" i="1" s="1"/>
  <c r="J191" i="1"/>
  <c r="J197" i="1" s="1"/>
  <c r="AN22" i="1" s="1"/>
  <c r="K191" i="1"/>
  <c r="K197" i="1" s="1"/>
  <c r="AN23" i="1" s="1"/>
  <c r="L191" i="1"/>
  <c r="L197" i="1" s="1"/>
  <c r="AN24" i="1" s="1"/>
  <c r="M191" i="1"/>
  <c r="M197" i="1" s="1"/>
  <c r="AN25" i="1" s="1"/>
  <c r="N191" i="1"/>
  <c r="N197" i="1" s="1"/>
  <c r="AN30" i="1" s="1"/>
  <c r="O191" i="1"/>
  <c r="O197" i="1" s="1"/>
  <c r="AN31" i="1" s="1"/>
  <c r="P191" i="1"/>
  <c r="P197" i="1" s="1"/>
  <c r="AN32" i="1" s="1"/>
  <c r="Q191" i="1"/>
  <c r="Q197" i="1" s="1"/>
  <c r="AN33" i="1" s="1"/>
  <c r="C190" i="1"/>
  <c r="C196" i="1" s="1"/>
  <c r="AM7" i="1" s="1"/>
  <c r="D190" i="1"/>
  <c r="D196" i="1" s="1"/>
  <c r="AM8" i="1" s="1"/>
  <c r="E190" i="1"/>
  <c r="E196" i="1" s="1"/>
  <c r="AM9" i="1" s="1"/>
  <c r="F190" i="1"/>
  <c r="F196" i="1" s="1"/>
  <c r="AM14" i="1" s="1"/>
  <c r="G190" i="1"/>
  <c r="G196" i="1" s="1"/>
  <c r="AM15" i="1" s="1"/>
  <c r="H190" i="1"/>
  <c r="H196" i="1" s="1"/>
  <c r="AM16" i="1" s="1"/>
  <c r="I190" i="1"/>
  <c r="I196" i="1" s="1"/>
  <c r="AM17" i="1" s="1"/>
  <c r="J190" i="1"/>
  <c r="J196" i="1" s="1"/>
  <c r="AM22" i="1" s="1"/>
  <c r="K190" i="1"/>
  <c r="K196" i="1" s="1"/>
  <c r="AM23" i="1" s="1"/>
  <c r="L190" i="1"/>
  <c r="L196" i="1" s="1"/>
  <c r="AM24" i="1" s="1"/>
  <c r="M190" i="1"/>
  <c r="M196" i="1" s="1"/>
  <c r="AM25" i="1" s="1"/>
  <c r="N190" i="1"/>
  <c r="N196" i="1" s="1"/>
  <c r="AM30" i="1" s="1"/>
  <c r="O190" i="1"/>
  <c r="O196" i="1" s="1"/>
  <c r="AM31" i="1" s="1"/>
  <c r="P190" i="1"/>
  <c r="P196" i="1" s="1"/>
  <c r="AM32" i="1" s="1"/>
  <c r="Q190" i="1"/>
  <c r="Q196" i="1" s="1"/>
  <c r="AM33" i="1" s="1"/>
  <c r="C189" i="1"/>
  <c r="C195" i="1" s="1"/>
  <c r="AL7" i="1" s="1"/>
  <c r="D189" i="1"/>
  <c r="D195" i="1" s="1"/>
  <c r="AL8" i="1" s="1"/>
  <c r="E189" i="1"/>
  <c r="E195" i="1" s="1"/>
  <c r="AL9" i="1" s="1"/>
  <c r="F189" i="1"/>
  <c r="F195" i="1" s="1"/>
  <c r="AL14" i="1" s="1"/>
  <c r="G189" i="1"/>
  <c r="G195" i="1" s="1"/>
  <c r="AL15" i="1" s="1"/>
  <c r="H189" i="1"/>
  <c r="H195" i="1" s="1"/>
  <c r="AL16" i="1" s="1"/>
  <c r="I189" i="1"/>
  <c r="I195" i="1" s="1"/>
  <c r="AL17" i="1" s="1"/>
  <c r="J189" i="1"/>
  <c r="J195" i="1" s="1"/>
  <c r="AL22" i="1" s="1"/>
  <c r="K189" i="1"/>
  <c r="K195" i="1" s="1"/>
  <c r="AL23" i="1" s="1"/>
  <c r="L189" i="1"/>
  <c r="L195" i="1" s="1"/>
  <c r="AL24" i="1" s="1"/>
  <c r="M189" i="1"/>
  <c r="M195" i="1" s="1"/>
  <c r="AL25" i="1" s="1"/>
  <c r="N189" i="1"/>
  <c r="N195" i="1" s="1"/>
  <c r="AL30" i="1" s="1"/>
  <c r="O189" i="1"/>
  <c r="O195" i="1" s="1"/>
  <c r="AL31" i="1" s="1"/>
  <c r="P189" i="1"/>
  <c r="P195" i="1" s="1"/>
  <c r="AL32" i="1" s="1"/>
  <c r="Q189" i="1"/>
  <c r="Q195" i="1" s="1"/>
  <c r="AL33" i="1" s="1"/>
  <c r="C188" i="1"/>
  <c r="C194" i="1" s="1"/>
  <c r="AK7" i="1" s="1"/>
  <c r="D188" i="1"/>
  <c r="D194" i="1" s="1"/>
  <c r="AK8" i="1" s="1"/>
  <c r="E188" i="1"/>
  <c r="E194" i="1" s="1"/>
  <c r="AK9" i="1" s="1"/>
  <c r="F188" i="1"/>
  <c r="F194" i="1" s="1"/>
  <c r="AK14" i="1" s="1"/>
  <c r="G188" i="1"/>
  <c r="G194" i="1" s="1"/>
  <c r="AK15" i="1" s="1"/>
  <c r="H188" i="1"/>
  <c r="H194" i="1" s="1"/>
  <c r="AK16" i="1" s="1"/>
  <c r="I188" i="1"/>
  <c r="I194" i="1" s="1"/>
  <c r="AK17" i="1" s="1"/>
  <c r="J188" i="1"/>
  <c r="J194" i="1" s="1"/>
  <c r="AK22" i="1" s="1"/>
  <c r="K188" i="1"/>
  <c r="K194" i="1" s="1"/>
  <c r="AK23" i="1" s="1"/>
  <c r="L188" i="1"/>
  <c r="L194" i="1" s="1"/>
  <c r="AK24" i="1" s="1"/>
  <c r="M188" i="1"/>
  <c r="M194" i="1" s="1"/>
  <c r="AK25" i="1" s="1"/>
  <c r="N188" i="1"/>
  <c r="N194" i="1" s="1"/>
  <c r="AK30" i="1" s="1"/>
  <c r="O188" i="1"/>
  <c r="O194" i="1" s="1"/>
  <c r="AK31" i="1" s="1"/>
  <c r="P188" i="1"/>
  <c r="P194" i="1" s="1"/>
  <c r="AK32" i="1" s="1"/>
  <c r="Q188" i="1"/>
  <c r="Q194" i="1" s="1"/>
  <c r="AK33" i="1" s="1"/>
  <c r="C187" i="1"/>
  <c r="C193" i="1" s="1"/>
  <c r="AJ7" i="1" s="1"/>
  <c r="D187" i="1"/>
  <c r="D193" i="1" s="1"/>
  <c r="AJ8" i="1" s="1"/>
  <c r="E187" i="1"/>
  <c r="E193" i="1" s="1"/>
  <c r="AJ9" i="1" s="1"/>
  <c r="F187" i="1"/>
  <c r="F193" i="1" s="1"/>
  <c r="AJ14" i="1" s="1"/>
  <c r="G187" i="1"/>
  <c r="G193" i="1" s="1"/>
  <c r="AJ15" i="1" s="1"/>
  <c r="H187" i="1"/>
  <c r="H193" i="1" s="1"/>
  <c r="AJ16" i="1" s="1"/>
  <c r="I187" i="1"/>
  <c r="J187" i="1"/>
  <c r="J193" i="1" s="1"/>
  <c r="AJ22" i="1" s="1"/>
  <c r="K187" i="1"/>
  <c r="K193" i="1" s="1"/>
  <c r="AJ23" i="1" s="1"/>
  <c r="L187" i="1"/>
  <c r="L193" i="1" s="1"/>
  <c r="AJ24" i="1" s="1"/>
  <c r="M187" i="1"/>
  <c r="M193" i="1" s="1"/>
  <c r="AJ25" i="1" s="1"/>
  <c r="N187" i="1"/>
  <c r="N193" i="1" s="1"/>
  <c r="AJ30" i="1" s="1"/>
  <c r="O187" i="1"/>
  <c r="O193" i="1" s="1"/>
  <c r="AJ31" i="1" s="1"/>
  <c r="P187" i="1"/>
  <c r="P193" i="1" s="1"/>
  <c r="AJ32" i="1" s="1"/>
  <c r="Q187" i="1"/>
  <c r="Q193" i="1" s="1"/>
  <c r="AJ33" i="1" s="1"/>
  <c r="B191" i="1"/>
  <c r="B190" i="1"/>
  <c r="B189" i="1"/>
  <c r="B188" i="1"/>
  <c r="B187" i="1"/>
  <c r="C186" i="1"/>
  <c r="AI7" i="1" s="1"/>
  <c r="D186" i="1"/>
  <c r="AI8" i="1" s="1"/>
  <c r="E186" i="1"/>
  <c r="AI9" i="1" s="1"/>
  <c r="F186" i="1"/>
  <c r="AI14" i="1" s="1"/>
  <c r="G186" i="1"/>
  <c r="AI15" i="1" s="1"/>
  <c r="H186" i="1"/>
  <c r="AI16" i="1" s="1"/>
  <c r="I186" i="1"/>
  <c r="AI17" i="1" s="1"/>
  <c r="J186" i="1"/>
  <c r="AI22" i="1" s="1"/>
  <c r="K186" i="1"/>
  <c r="AI23" i="1" s="1"/>
  <c r="L186" i="1"/>
  <c r="AI24" i="1" s="1"/>
  <c r="M186" i="1"/>
  <c r="AI25" i="1" s="1"/>
  <c r="N186" i="1"/>
  <c r="AI30" i="1" s="1"/>
  <c r="O186" i="1"/>
  <c r="AI31" i="1" s="1"/>
  <c r="P186" i="1"/>
  <c r="AI32" i="1" s="1"/>
  <c r="Q186" i="1"/>
  <c r="AI33" i="1" s="1"/>
  <c r="B186" i="1"/>
  <c r="AH9" i="1"/>
  <c r="AH8" i="1"/>
  <c r="AH7" i="1"/>
  <c r="AH6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B185" i="1"/>
  <c r="AF2" i="2" l="1"/>
  <c r="AG2" i="2" s="1"/>
  <c r="AM3" i="2" a="1"/>
  <c r="AL34" i="1"/>
  <c r="AL26" i="1"/>
  <c r="AL18" i="1"/>
  <c r="B195" i="1"/>
  <c r="AI34" i="1"/>
  <c r="B197" i="1"/>
  <c r="B196" i="1"/>
  <c r="AI6" i="1"/>
  <c r="AI10" i="1" s="1"/>
  <c r="AI26" i="1"/>
  <c r="B193" i="1"/>
  <c r="B194" i="1"/>
  <c r="AK26" i="1"/>
  <c r="AJ34" i="1"/>
  <c r="AK34" i="1"/>
  <c r="AK18" i="1"/>
  <c r="AI18" i="1"/>
  <c r="AJ26" i="1"/>
  <c r="AN34" i="1"/>
  <c r="AN26" i="1"/>
  <c r="AN18" i="1"/>
  <c r="AM34" i="1"/>
  <c r="AM26" i="1"/>
  <c r="AM18" i="1"/>
  <c r="I192" i="1"/>
  <c r="I198" i="1" s="1"/>
  <c r="B192" i="1"/>
  <c r="F192" i="1"/>
  <c r="F198" i="1" s="1"/>
  <c r="M192" i="1"/>
  <c r="M198" i="1" s="1"/>
  <c r="E192" i="1"/>
  <c r="E198" i="1" s="1"/>
  <c r="I193" i="1"/>
  <c r="AJ17" i="1" s="1"/>
  <c r="AJ18" i="1" s="1"/>
  <c r="P192" i="1"/>
  <c r="P198" i="1" s="1"/>
  <c r="L192" i="1"/>
  <c r="L198" i="1" s="1"/>
  <c r="H192" i="1"/>
  <c r="H198" i="1" s="1"/>
  <c r="D192" i="1"/>
  <c r="D198" i="1" s="1"/>
  <c r="N192" i="1"/>
  <c r="N198" i="1" s="1"/>
  <c r="J192" i="1"/>
  <c r="J198" i="1" s="1"/>
  <c r="Q192" i="1"/>
  <c r="Q198" i="1" s="1"/>
  <c r="O192" i="1"/>
  <c r="O198" i="1" s="1"/>
  <c r="K192" i="1"/>
  <c r="K198" i="1" s="1"/>
  <c r="G192" i="1"/>
  <c r="G198" i="1" s="1"/>
  <c r="C192" i="1"/>
  <c r="C198" i="1" s="1"/>
  <c r="AM3" i="2" l="1"/>
  <c r="AM6" i="2"/>
  <c r="AM5" i="2"/>
  <c r="AM4" i="2"/>
  <c r="AN6" i="1"/>
  <c r="AJ6" i="1"/>
  <c r="B198" i="1"/>
  <c r="AK6" i="1"/>
  <c r="AM6" i="1"/>
  <c r="AL6" i="1"/>
  <c r="AM7" i="2" l="1"/>
  <c r="AN4" i="2" s="1"/>
  <c r="AK12" i="2" s="1"/>
  <c r="AN3" i="2" l="1"/>
  <c r="AN6" i="2"/>
  <c r="AK14" i="2" s="1"/>
  <c r="AN5" i="2"/>
  <c r="AK13" i="2" s="1"/>
  <c r="AN7" i="2" l="1"/>
  <c r="AK11" i="2"/>
</calcChain>
</file>

<file path=xl/sharedStrings.xml><?xml version="1.0" encoding="utf-8"?>
<sst xmlns="http://schemas.openxmlformats.org/spreadsheetml/2006/main" count="504" uniqueCount="257">
  <si>
    <t>PRG.1</t>
  </si>
  <si>
    <t>PRG.2</t>
  </si>
  <si>
    <t>PRG.3</t>
  </si>
  <si>
    <t>PRG.4</t>
  </si>
  <si>
    <t>PRG.5</t>
  </si>
  <si>
    <t>PRG.6</t>
  </si>
  <si>
    <t>PRG.7</t>
  </si>
  <si>
    <t>PRG.8</t>
  </si>
  <si>
    <t>PRG.9</t>
  </si>
  <si>
    <t>PRG.10</t>
  </si>
  <si>
    <t>PRG.11</t>
  </si>
  <si>
    <t>PRG.12</t>
  </si>
  <si>
    <t>PRG.13</t>
  </si>
  <si>
    <t>PRG.14</t>
  </si>
  <si>
    <t>PRG.15</t>
  </si>
  <si>
    <t>PRG.16</t>
  </si>
  <si>
    <t>Alumnos 1</t>
  </si>
  <si>
    <t>Alumnos 2</t>
  </si>
  <si>
    <t>Alumnos 3</t>
  </si>
  <si>
    <t>Alumnos 4</t>
  </si>
  <si>
    <t>Alumnos 5</t>
  </si>
  <si>
    <t>Alumnos 6</t>
  </si>
  <si>
    <t>Alumnos 7</t>
  </si>
  <si>
    <t>Alumnos 8</t>
  </si>
  <si>
    <t>Alumnos 9</t>
  </si>
  <si>
    <t>Alumnos 10</t>
  </si>
  <si>
    <t>Alumnos 11</t>
  </si>
  <si>
    <t>Alumnos 12</t>
  </si>
  <si>
    <t>Alumnos 13</t>
  </si>
  <si>
    <t>Alumnos 14</t>
  </si>
  <si>
    <t>Alumnos 15</t>
  </si>
  <si>
    <t>Alumnos 16</t>
  </si>
  <si>
    <t>Alumnos 17</t>
  </si>
  <si>
    <t>Alumnos 18</t>
  </si>
  <si>
    <t>Alumnos 19</t>
  </si>
  <si>
    <t>Alumnos 20</t>
  </si>
  <si>
    <t>Alumnos 21</t>
  </si>
  <si>
    <t>Alumnos 22</t>
  </si>
  <si>
    <t>Alumnos 23</t>
  </si>
  <si>
    <t>Alumnos 24</t>
  </si>
  <si>
    <t>Alumnos 25</t>
  </si>
  <si>
    <t>Alumnos 26</t>
  </si>
  <si>
    <t>Alumnos 27</t>
  </si>
  <si>
    <t>Alumnos 28</t>
  </si>
  <si>
    <t>Alumnos 29</t>
  </si>
  <si>
    <t>Alumnos 30</t>
  </si>
  <si>
    <t>Alumnos 31</t>
  </si>
  <si>
    <t>Alumnos 32</t>
  </si>
  <si>
    <t>Alumnos 33</t>
  </si>
  <si>
    <t>Alumnos 34</t>
  </si>
  <si>
    <t>Alumnos 35</t>
  </si>
  <si>
    <t>Alumnos 36</t>
  </si>
  <si>
    <t>Alumnos 37</t>
  </si>
  <si>
    <t>Alumnos 38</t>
  </si>
  <si>
    <t>Alumnos 39</t>
  </si>
  <si>
    <t>Alumnos 40</t>
  </si>
  <si>
    <t>Alumnos 41</t>
  </si>
  <si>
    <t>Alumnos 42</t>
  </si>
  <si>
    <t>Alumnos 43</t>
  </si>
  <si>
    <t>Alumnos 44</t>
  </si>
  <si>
    <t>Alumnos 45</t>
  </si>
  <si>
    <t>Alumnos 46</t>
  </si>
  <si>
    <t>Alumnos 47</t>
  </si>
  <si>
    <t>Alumnos 48</t>
  </si>
  <si>
    <t>Alumnos 49</t>
  </si>
  <si>
    <t>Alumnos 50</t>
  </si>
  <si>
    <t>Alumnos 51</t>
  </si>
  <si>
    <t>Alumnos 52</t>
  </si>
  <si>
    <t>Alumnos 53</t>
  </si>
  <si>
    <t>Alumnos 54</t>
  </si>
  <si>
    <t>Alumnos 55</t>
  </si>
  <si>
    <t>Alumnos 56</t>
  </si>
  <si>
    <t>Alumnos 57</t>
  </si>
  <si>
    <t>Alumnos 58</t>
  </si>
  <si>
    <t>Alumnos 59</t>
  </si>
  <si>
    <t>Alumnos 60</t>
  </si>
  <si>
    <t>Alumnos 61</t>
  </si>
  <si>
    <t>Alumnos 62</t>
  </si>
  <si>
    <t>Alumnos 63</t>
  </si>
  <si>
    <t>Alumnos 64</t>
  </si>
  <si>
    <t>Alumnos 65</t>
  </si>
  <si>
    <t>Alumnos 66</t>
  </si>
  <si>
    <t>Alumnos 67</t>
  </si>
  <si>
    <t>Alumnos 68</t>
  </si>
  <si>
    <t>Alumnos 69</t>
  </si>
  <si>
    <t>Alumnos 70</t>
  </si>
  <si>
    <t>Alumnos 71</t>
  </si>
  <si>
    <t>Alumnos 72</t>
  </si>
  <si>
    <t>Alumnos 73</t>
  </si>
  <si>
    <t>Alumnos 74</t>
  </si>
  <si>
    <t>Alumnos 75</t>
  </si>
  <si>
    <t>Alumnos 76</t>
  </si>
  <si>
    <t>Alumnos 77</t>
  </si>
  <si>
    <t>Alumnos 78</t>
  </si>
  <si>
    <t>Alumnos 79</t>
  </si>
  <si>
    <t>Alumnos 80</t>
  </si>
  <si>
    <t>Alumnos 81</t>
  </si>
  <si>
    <t>Alumnos 82</t>
  </si>
  <si>
    <t>Alumnos 83</t>
  </si>
  <si>
    <t>Alumnos 84</t>
  </si>
  <si>
    <t>Alumnos 85</t>
  </si>
  <si>
    <t>Alumnos 86</t>
  </si>
  <si>
    <t>Alumnos 87</t>
  </si>
  <si>
    <t>Alumnos 88</t>
  </si>
  <si>
    <t>Alumnos 89</t>
  </si>
  <si>
    <t>Alumnos 90</t>
  </si>
  <si>
    <t>Alumnos 91</t>
  </si>
  <si>
    <t>Alumnos 92</t>
  </si>
  <si>
    <t>Alumnos 93</t>
  </si>
  <si>
    <t>Alumnos 94</t>
  </si>
  <si>
    <t>Alumnos 95</t>
  </si>
  <si>
    <t>Alumnos 96</t>
  </si>
  <si>
    <t>Alumnos 97</t>
  </si>
  <si>
    <t>Alumnos 98</t>
  </si>
  <si>
    <t>Alumnos 99</t>
  </si>
  <si>
    <t>Alumnos 100</t>
  </si>
  <si>
    <t>Alumnos 101</t>
  </si>
  <si>
    <t>Alumnos 102</t>
  </si>
  <si>
    <t>Alumnos 103</t>
  </si>
  <si>
    <t>Alumnos 104</t>
  </si>
  <si>
    <t>Alumnos 105</t>
  </si>
  <si>
    <t>Alumnos 106</t>
  </si>
  <si>
    <t>Alumnos 107</t>
  </si>
  <si>
    <t>Alumnos 108</t>
  </si>
  <si>
    <t>Alumnos 109</t>
  </si>
  <si>
    <t>Alumnos 110</t>
  </si>
  <si>
    <t>Alumnos 111</t>
  </si>
  <si>
    <t>Alumnos 112</t>
  </si>
  <si>
    <t>Alumnos 113</t>
  </si>
  <si>
    <t>Alumnos 114</t>
  </si>
  <si>
    <t>Alumnos 115</t>
  </si>
  <si>
    <t>Alumnos 116</t>
  </si>
  <si>
    <t>Alumnos 117</t>
  </si>
  <si>
    <t>Alumnos 118</t>
  </si>
  <si>
    <t>Alumnos 119</t>
  </si>
  <si>
    <t>Alumnos 120</t>
  </si>
  <si>
    <t>Alumnos 121</t>
  </si>
  <si>
    <t>Alumnos 122</t>
  </si>
  <si>
    <t>Alumnos 123</t>
  </si>
  <si>
    <t>Alumnos 124</t>
  </si>
  <si>
    <t>Alumnos 125</t>
  </si>
  <si>
    <t>Alumnos 126</t>
  </si>
  <si>
    <t>Alumnos 127</t>
  </si>
  <si>
    <t>Alumnos 128</t>
  </si>
  <si>
    <t>Alumnos 129</t>
  </si>
  <si>
    <t>Alumnos 130</t>
  </si>
  <si>
    <t>Alumnos 131</t>
  </si>
  <si>
    <t>Alumnos 132</t>
  </si>
  <si>
    <t>Alumnos 133</t>
  </si>
  <si>
    <t>Alumnos 134</t>
  </si>
  <si>
    <t>Alumnos 135</t>
  </si>
  <si>
    <t>Alumnos 136</t>
  </si>
  <si>
    <t>Alumnos 137</t>
  </si>
  <si>
    <t>Alumnos 138</t>
  </si>
  <si>
    <t>Alumnos 139</t>
  </si>
  <si>
    <t>Alumnos 140</t>
  </si>
  <si>
    <t>Alumnos 141</t>
  </si>
  <si>
    <t>Alumnos 142</t>
  </si>
  <si>
    <t>Alumnos 143</t>
  </si>
  <si>
    <t>Alumnos 144</t>
  </si>
  <si>
    <t>Alumnos 145</t>
  </si>
  <si>
    <t>Alumnos 146</t>
  </si>
  <si>
    <t>Alumnos 147</t>
  </si>
  <si>
    <t>Alumnos 148</t>
  </si>
  <si>
    <t>Alumnos 149</t>
  </si>
  <si>
    <t>Alumnos 150</t>
  </si>
  <si>
    <t>Alumnos 151</t>
  </si>
  <si>
    <t>Alumnos 152</t>
  </si>
  <si>
    <t>Alumnos 153</t>
  </si>
  <si>
    <t>Alumnos 154</t>
  </si>
  <si>
    <t>Alumnos 155</t>
  </si>
  <si>
    <t>Alumnos 156</t>
  </si>
  <si>
    <t>Alumnos 157</t>
  </si>
  <si>
    <t>Alumnos 158</t>
  </si>
  <si>
    <t>Alumnos 159</t>
  </si>
  <si>
    <t>Alumnos 160</t>
  </si>
  <si>
    <t>Alumnos 161</t>
  </si>
  <si>
    <t>Alumnos 162</t>
  </si>
  <si>
    <t>Alumnos 163</t>
  </si>
  <si>
    <t>Alumnos 164</t>
  </si>
  <si>
    <t>Alumnos 165</t>
  </si>
  <si>
    <t>Alumnos 166</t>
  </si>
  <si>
    <t>Alumnos 167</t>
  </si>
  <si>
    <t>Alumnos 168</t>
  </si>
  <si>
    <t>Alumnos 169</t>
  </si>
  <si>
    <t>Alumnos 170</t>
  </si>
  <si>
    <t>Alumnos 171</t>
  </si>
  <si>
    <t>Alumnos 172</t>
  </si>
  <si>
    <t>Alumnos 173</t>
  </si>
  <si>
    <t>Alumnos 174</t>
  </si>
  <si>
    <t>Alumnos 175</t>
  </si>
  <si>
    <t>Alumnos 176</t>
  </si>
  <si>
    <t>Alumnos 177</t>
  </si>
  <si>
    <t>Alumnos 178</t>
  </si>
  <si>
    <t>Alumnos 179</t>
  </si>
  <si>
    <t>Alumnos 180</t>
  </si>
  <si>
    <t>Alumnos 181</t>
  </si>
  <si>
    <t>Alumnos 182</t>
  </si>
  <si>
    <t>Alumnos 183</t>
  </si>
  <si>
    <t>PRG.17</t>
  </si>
  <si>
    <t>PRG.18</t>
  </si>
  <si>
    <t>PRG.19</t>
  </si>
  <si>
    <t>PRG.20</t>
  </si>
  <si>
    <t xml:space="preserve">Integración de la acción tutorial en el aula </t>
  </si>
  <si>
    <t>Nunca</t>
  </si>
  <si>
    <t>Casi nunca</t>
  </si>
  <si>
    <t>A veces</t>
  </si>
  <si>
    <t>Siempre</t>
  </si>
  <si>
    <t>Total</t>
  </si>
  <si>
    <t>Media</t>
  </si>
  <si>
    <t xml:space="preserve">Casi Siempre </t>
  </si>
  <si>
    <t>Mala: 1.00 - 2.33</t>
  </si>
  <si>
    <t>Regular: 2.34 - 3.67</t>
  </si>
  <si>
    <t>Buena: 3.68 - 5.00</t>
  </si>
  <si>
    <t xml:space="preserve">máximo </t>
  </si>
  <si>
    <t>minimo</t>
  </si>
  <si>
    <t>rango</t>
  </si>
  <si>
    <t>Amplitud de intervalo</t>
  </si>
  <si>
    <t>ÍTEM</t>
  </si>
  <si>
    <t>MEDIA</t>
  </si>
  <si>
    <t>Relaciones en el aula</t>
  </si>
  <si>
    <t>Orientación profesional</t>
  </si>
  <si>
    <t>Satisfacción con la orientación tutorial</t>
  </si>
  <si>
    <t>Integración de la acción tutorial en el aula (CATEGORIA)</t>
  </si>
  <si>
    <t>Mala</t>
  </si>
  <si>
    <t>Regular</t>
  </si>
  <si>
    <t>Buena</t>
  </si>
  <si>
    <t>Desde</t>
  </si>
  <si>
    <t xml:space="preserve">Hasta </t>
  </si>
  <si>
    <t>Integración de la acción tutorial en el aula (CODIGO)</t>
  </si>
  <si>
    <t>Relaciones en el aula (CATEGORIA)</t>
  </si>
  <si>
    <t>Relaciones en el aula (CODIGO)</t>
  </si>
  <si>
    <t>Orientación profesional (CATEGORIA)</t>
  </si>
  <si>
    <t>Satisfacción con la orientación tutorial (CATEGORIA)</t>
  </si>
  <si>
    <t>Orientación profesional (CODIGO)</t>
  </si>
  <si>
    <t>Satisfacción con la orientación tutorial (CODIGO)</t>
  </si>
  <si>
    <t>Acción Tutorial</t>
  </si>
  <si>
    <t>Acción Tutorial (CATEGORIA)</t>
  </si>
  <si>
    <t>Acción Tutorial (CODIGO)</t>
  </si>
  <si>
    <t>PRG.21</t>
  </si>
  <si>
    <t>PRG.22</t>
  </si>
  <si>
    <t>PRG.23</t>
  </si>
  <si>
    <t>PRG.24</t>
  </si>
  <si>
    <t>PRG.25</t>
  </si>
  <si>
    <t>Nivel de Autoestima Bajo</t>
  </si>
  <si>
    <t>Nivel de Autoestima Medio Bajo</t>
  </si>
  <si>
    <t>Nivel de Autoestima Medio Alto</t>
  </si>
  <si>
    <t>Nivel de Autoestima Alto</t>
  </si>
  <si>
    <t>Nivel de autoestima</t>
  </si>
  <si>
    <t>SI MISMO</t>
  </si>
  <si>
    <t>SOCIAL</t>
  </si>
  <si>
    <t xml:space="preserve">FAMILIAR </t>
  </si>
  <si>
    <t>SUMA TOTAL</t>
  </si>
  <si>
    <t>TOTAL X 4</t>
  </si>
  <si>
    <t>Codigo</t>
  </si>
  <si>
    <t>Frc.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</si>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</sst>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/>
    <xf numFmtId="0" fontId="3" fillId="0" borderId="0" xfId="0" applyFont="1"/>
    <xf numFmtId="164" fontId="0" fillId="5" borderId="0" xfId="1" applyNumberFormat="1" applyFont="1" applyFill="1" applyAlignment="1">
      <alignment horizontal="center" vertical="center" wrapText="1"/>
    </xf>
    <xf numFmtId="9" fontId="0" fillId="5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64" fontId="0" fillId="5" borderId="0" xfId="0" applyNumberFormat="1" applyFill="1" applyAlignment="1">
      <alignment horizontal="center" vertical="center" wrapText="1"/>
    </xf>
    <xf numFmtId="2" fontId="0" fillId="0" borderId="0" xfId="0" applyNumberFormat="1"/>
    <xf numFmtId="164" fontId="0" fillId="7" borderId="0" xfId="1" applyNumberFormat="1" applyFont="1" applyFill="1" applyAlignment="1">
      <alignment horizontal="center" vertical="center" wrapText="1"/>
    </xf>
    <xf numFmtId="9" fontId="0" fillId="7" borderId="0" xfId="1" applyFont="1" applyFill="1" applyAlignment="1">
      <alignment horizontal="center" vertical="center" wrapText="1"/>
    </xf>
    <xf numFmtId="164" fontId="0" fillId="3" borderId="0" xfId="1" applyNumberFormat="1" applyFont="1" applyFill="1" applyAlignment="1">
      <alignment horizontal="center" vertical="center" wrapText="1"/>
    </xf>
    <xf numFmtId="9" fontId="0" fillId="3" borderId="0" xfId="1" applyFont="1" applyFill="1" applyAlignment="1">
      <alignment horizontal="center" vertical="center" wrapText="1"/>
    </xf>
    <xf numFmtId="164" fontId="0" fillId="8" borderId="0" xfId="1" applyNumberFormat="1" applyFont="1" applyFill="1" applyAlignment="1">
      <alignment horizontal="center" vertical="center" wrapText="1"/>
    </xf>
    <xf numFmtId="9" fontId="0" fillId="8" borderId="0" xfId="1" applyFont="1" applyFill="1" applyAlignment="1">
      <alignment horizontal="center" vertical="center" wrapText="1"/>
    </xf>
    <xf numFmtId="164" fontId="0" fillId="8" borderId="0" xfId="0" applyNumberFormat="1" applyFill="1"/>
    <xf numFmtId="164" fontId="0" fillId="9" borderId="0" xfId="0" applyNumberFormat="1" applyFill="1"/>
    <xf numFmtId="164" fontId="0" fillId="7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Font="1" applyBorder="1"/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0" fillId="0" borderId="0" xfId="0" applyNumberFormat="1"/>
    <xf numFmtId="164" fontId="0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AU!$AJ$11:$AJ$14</c:f>
              <c:strCache>
                <c:ptCount val="4"/>
                <c:pt idx="0">
                  <c:v>Nivel de Autoestima Bajo</c:v>
                </c:pt>
                <c:pt idx="1">
                  <c:v>Nivel de Autoestima Medio Bajo</c:v>
                </c:pt>
                <c:pt idx="2">
                  <c:v>Nivel de Autoestima Medio Alto</c:v>
                </c:pt>
                <c:pt idx="3">
                  <c:v>Nivel de Autoestima Alto</c:v>
                </c:pt>
              </c:strCache>
            </c:strRef>
          </c:cat>
          <c:val>
            <c:numRef>
              <c:f>AU!$AK$11:$AK$14</c:f>
              <c:numCache>
                <c:formatCode>0.0%</c:formatCode>
                <c:ptCount val="4"/>
                <c:pt idx="0">
                  <c:v>0.25683060109289618</c:v>
                </c:pt>
                <c:pt idx="1">
                  <c:v>0.10928961748633879</c:v>
                </c:pt>
                <c:pt idx="2">
                  <c:v>0.49180327868852458</c:v>
                </c:pt>
                <c:pt idx="3">
                  <c:v>0.14207650273224043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A-4BA8-9C31-181B727510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74315391"/>
        <c:axId val="1474315871"/>
        <c:axId val="0"/>
      </c:bar3DChart>
      <c:catAx>
        <c:axId val="147431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74315871"/>
        <c:crosses val="autoZero"/>
        <c:auto val="1"/>
        <c:lblAlgn val="ctr"/>
        <c:lblOffset val="100"/>
        <c:noMultiLvlLbl val="0"/>
      </c:catAx>
      <c:valAx>
        <c:axId val="14743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7431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63500</xdr:colOff>
      <xdr:row>15</xdr:row>
      <xdr:rowOff>160337</xdr:rowOff>
    </xdr:from>
    <xdr:to>
      <xdr:col>39</xdr:col>
      <xdr:colOff>47625</xdr:colOff>
      <xdr:row>30</xdr:row>
      <xdr:rowOff>46037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27B428-3775-019D-B054-7BBA72BCD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C71E-5C61-417C-8C71-99647D667618}">
  <dimension ref="A1:AS198"/>
  <sheetViews>
    <sheetView tabSelected="1" topLeftCell="S1" zoomScale="55" zoomScaleNormal="55" workbookViewId="0">
      <selection activeCell="AG4" sqref="AG4"/>
    </sheetView>
  </sheetViews>
  <sheetFormatPr baseColWidth="10" defaultRowHeight="15" x14ac:dyDescent="0.25"/>
  <cols>
    <col min="1" max="1" width="17.42578125" bestFit="1" customWidth="1"/>
    <col min="2" max="2" width="6.140625" style="1" bestFit="1" customWidth="1"/>
    <col min="3" max="17" width="8.140625" style="1" bestFit="1" customWidth="1"/>
    <col min="18" max="18" width="20.42578125" style="1" customWidth="1"/>
    <col min="19" max="20" width="17.42578125" style="23" customWidth="1"/>
    <col min="21" max="32" width="17.42578125" style="30" customWidth="1"/>
    <col min="33" max="33" width="17.42578125" customWidth="1"/>
    <col min="35" max="35" width="8.5703125" customWidth="1"/>
    <col min="36" max="36" width="9.140625" bestFit="1" customWidth="1"/>
    <col min="37" max="37" width="9" customWidth="1"/>
    <col min="38" max="38" width="7.7109375" bestFit="1" customWidth="1"/>
    <col min="39" max="39" width="7.85546875" customWidth="1"/>
    <col min="40" max="40" width="8.42578125" bestFit="1" customWidth="1"/>
    <col min="42" max="42" width="17.5703125" bestFit="1" customWidth="1"/>
    <col min="44" max="44" width="20.5703125" bestFit="1" customWidth="1"/>
  </cols>
  <sheetData>
    <row r="1" spans="1:45" ht="6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7" t="s">
        <v>203</v>
      </c>
      <c r="S1" s="27" t="s">
        <v>223</v>
      </c>
      <c r="T1" s="27" t="s">
        <v>229</v>
      </c>
      <c r="U1" s="31" t="s">
        <v>220</v>
      </c>
      <c r="V1" s="31" t="s">
        <v>230</v>
      </c>
      <c r="W1" s="31" t="s">
        <v>231</v>
      </c>
      <c r="X1" s="33" t="s">
        <v>221</v>
      </c>
      <c r="Y1" s="33" t="s">
        <v>232</v>
      </c>
      <c r="Z1" s="33" t="s">
        <v>234</v>
      </c>
      <c r="AA1" s="35" t="s">
        <v>222</v>
      </c>
      <c r="AB1" s="35" t="s">
        <v>233</v>
      </c>
      <c r="AC1" s="35" t="s">
        <v>235</v>
      </c>
      <c r="AD1" s="4" t="s">
        <v>236</v>
      </c>
      <c r="AE1" s="4" t="s">
        <v>237</v>
      </c>
      <c r="AF1" s="4" t="s">
        <v>238</v>
      </c>
      <c r="AG1" s="1"/>
    </row>
    <row r="2" spans="1:45" x14ac:dyDescent="0.25">
      <c r="A2" t="s">
        <v>16</v>
      </c>
      <c r="B2" s="1">
        <v>4</v>
      </c>
      <c r="C2" s="1">
        <v>3</v>
      </c>
      <c r="D2" s="1">
        <v>3</v>
      </c>
      <c r="E2" s="1">
        <v>3</v>
      </c>
      <c r="F2" s="1">
        <v>2</v>
      </c>
      <c r="G2" s="1">
        <v>3</v>
      </c>
      <c r="H2" s="1">
        <v>3</v>
      </c>
      <c r="I2" s="1">
        <v>3</v>
      </c>
      <c r="J2" s="1">
        <v>3</v>
      </c>
      <c r="K2" s="1">
        <v>3</v>
      </c>
      <c r="L2" s="1">
        <v>2</v>
      </c>
      <c r="M2" s="1">
        <v>3</v>
      </c>
      <c r="N2" s="1">
        <v>3</v>
      </c>
      <c r="O2" s="1">
        <v>3</v>
      </c>
      <c r="P2" s="1">
        <v>3</v>
      </c>
      <c r="Q2" s="1">
        <v>4</v>
      </c>
      <c r="R2" s="27">
        <f>AVERAGE(B2:E2)</f>
        <v>3.25</v>
      </c>
      <c r="S2" s="28" t="str">
        <f>IF(R2&lt;=$AR$11,$AP$11,IF(R2&lt;=$AR$12,$AP$12,IF(R2&lt;=$AR$13,$AP$13,0)))</f>
        <v>Regular</v>
      </c>
      <c r="T2" s="28">
        <f>IF(S2=$AP$11,$AO$11,IF(S2=$AP$12,$AO$12,IF(S2=$AP$13,$AO$13,0)))</f>
        <v>2</v>
      </c>
      <c r="U2" s="32">
        <f>AVERAGE(F2:I2)</f>
        <v>2.75</v>
      </c>
      <c r="V2" s="32" t="str">
        <f>IF(U2&lt;=$AR$11,$AP$11,IF(U2&lt;=$AR$12,$AP$12,IF(U2&lt;=$AR$13,$AP$13,0)))</f>
        <v>Regular</v>
      </c>
      <c r="W2" s="32">
        <f>IF(V2=$AP$11,$AO$11,IF(V2=$AP$12,$AO$12,IF(V2=$AP$13,$AO$13,0)))</f>
        <v>2</v>
      </c>
      <c r="X2" s="34">
        <f>AVERAGE(J2:M2)</f>
        <v>2.75</v>
      </c>
      <c r="Y2" s="34" t="str">
        <f>IF(X2&lt;=$AR$11,$AP$11,IF(X2&lt;=$AR$12,$AP$12,IF(X2&lt;=$AR$13,$AP$13,0)))</f>
        <v>Regular</v>
      </c>
      <c r="Z2" s="34">
        <f>IF(Y2=$AP$11,$AO$11,IF(Y2=$AP$12,$AO$12,IF(Y2=$AP$13,$AO$13,0)))</f>
        <v>2</v>
      </c>
      <c r="AA2" s="36">
        <f>AVERAGE(N2:Q2)</f>
        <v>3.25</v>
      </c>
      <c r="AB2" s="36" t="str">
        <f>IF(AA2&lt;=$AR$11,$AP$11,IF(AA2&lt;=$AR$12,$AP$12,IF(AA2&lt;=$AR$13,$AP$13,0)))</f>
        <v>Regular</v>
      </c>
      <c r="AC2" s="36">
        <f>IF(AB2=$AP$11,$AO$11,IF(AB2=$AP$12,$AO$12,IF(AB2=$AP$13,$AO$13,0)))</f>
        <v>2</v>
      </c>
      <c r="AD2" s="37">
        <f>AVERAGE(B2:Q2)</f>
        <v>3</v>
      </c>
      <c r="AE2" s="38" t="str">
        <f>IF(AD2&lt;=$AR$11,$AP$11,IF(AD2&lt;=$AR$12,$AP$12,IF(AD2&lt;=$AR$13,$AP$13,0)))</f>
        <v>Regular</v>
      </c>
      <c r="AF2" s="38">
        <f>IF(AE2=$AP$11,$AO$11,IF(AE2=$AP$12,$AO$12,IF(AE2=$AP$13,$AO$13,0)))</f>
        <v>2</v>
      </c>
    </row>
    <row r="3" spans="1:45" x14ac:dyDescent="0.25">
      <c r="A3" t="s">
        <v>17</v>
      </c>
      <c r="B3" s="1">
        <v>3</v>
      </c>
      <c r="C3" s="1">
        <v>3</v>
      </c>
      <c r="D3" s="1">
        <v>5</v>
      </c>
      <c r="E3" s="1">
        <v>5</v>
      </c>
      <c r="F3" s="1">
        <v>5</v>
      </c>
      <c r="G3" s="1">
        <v>5</v>
      </c>
      <c r="H3" s="1">
        <v>5</v>
      </c>
      <c r="I3" s="1">
        <v>5</v>
      </c>
      <c r="J3" s="1">
        <v>5</v>
      </c>
      <c r="K3" s="1">
        <v>4</v>
      </c>
      <c r="L3" s="1">
        <v>4</v>
      </c>
      <c r="M3" s="1">
        <v>3</v>
      </c>
      <c r="N3" s="1">
        <v>4</v>
      </c>
      <c r="O3" s="1">
        <v>3</v>
      </c>
      <c r="P3" s="1">
        <v>4</v>
      </c>
      <c r="Q3" s="1">
        <v>5</v>
      </c>
      <c r="R3" s="27">
        <f t="shared" ref="R3:R66" si="0">AVERAGE(B3:E3)</f>
        <v>4</v>
      </c>
      <c r="S3" s="28" t="str">
        <f t="shared" ref="S3:S66" si="1">IF(R3&lt;=$AR$11,$AP$11,IF(R3&lt;=$AR$12,$AP$12,IF(R3&lt;=$AR$13,$AP$13,0)))</f>
        <v>Buena</v>
      </c>
      <c r="T3" s="28">
        <f t="shared" ref="T3:T66" si="2">IF(S3=$AP$11,$AO$11,IF(S3=$AP$12,$AO$12,IF(S3=$AP$13,$AO$13,0)))</f>
        <v>3</v>
      </c>
      <c r="U3" s="32">
        <f t="shared" ref="U3:U66" si="3">AVERAGE(F3:I3)</f>
        <v>5</v>
      </c>
      <c r="V3" s="32" t="str">
        <f t="shared" ref="V3:V66" si="4">IF(U3&lt;=$AR$11,$AP$11,IF(U3&lt;=$AR$12,$AP$12,IF(U3&lt;=$AR$13,$AP$13,0)))</f>
        <v>Buena</v>
      </c>
      <c r="W3" s="32">
        <f t="shared" ref="W3:W66" si="5">IF(V3=$AP$11,$AO$11,IF(V3=$AP$12,$AO$12,IF(V3=$AP$13,$AO$13,0)))</f>
        <v>3</v>
      </c>
      <c r="X3" s="34">
        <f t="shared" ref="X3:X66" si="6">AVERAGE(J3:M3)</f>
        <v>4</v>
      </c>
      <c r="Y3" s="34" t="str">
        <f t="shared" ref="Y3:Y66" si="7">IF(X3&lt;=$AR$11,$AP$11,IF(X3&lt;=$AR$12,$AP$12,IF(X3&lt;=$AR$13,$AP$13,0)))</f>
        <v>Buena</v>
      </c>
      <c r="Z3" s="34">
        <f t="shared" ref="Z3:Z66" si="8">IF(Y3=$AP$11,$AO$11,IF(Y3=$AP$12,$AO$12,IF(Y3=$AP$13,$AO$13,0)))</f>
        <v>3</v>
      </c>
      <c r="AA3" s="36">
        <f t="shared" ref="AA3:AA66" si="9">AVERAGE(N3:Q3)</f>
        <v>4</v>
      </c>
      <c r="AB3" s="36" t="str">
        <f t="shared" ref="AB3:AB66" si="10">IF(AA3&lt;=$AR$11,$AP$11,IF(AA3&lt;=$AR$12,$AP$12,IF(AA3&lt;=$AR$13,$AP$13,0)))</f>
        <v>Buena</v>
      </c>
      <c r="AC3" s="36">
        <f t="shared" ref="AC3:AC66" si="11">IF(AB3=$AP$11,$AO$11,IF(AB3=$AP$12,$AO$12,IF(AB3=$AP$13,$AO$13,0)))</f>
        <v>3</v>
      </c>
      <c r="AD3" s="37">
        <f t="shared" ref="AD3:AD66" si="12">AVERAGE(B3:Q3)</f>
        <v>4.25</v>
      </c>
      <c r="AE3" s="38" t="str">
        <f t="shared" ref="AE3:AE66" si="13">IF(AD3&lt;=$AR$11,$AP$11,IF(AD3&lt;=$AR$12,$AP$12,IF(AD3&lt;=$AR$13,$AP$13,0)))</f>
        <v>Buena</v>
      </c>
      <c r="AF3" s="38">
        <f t="shared" ref="AF3:AF66" si="14">IF(AE3=$AP$11,$AO$11,IF(AE3=$AP$12,$AO$12,IF(AE3=$AP$13,$AO$13,0)))</f>
        <v>3</v>
      </c>
      <c r="AH3" t="s">
        <v>203</v>
      </c>
    </row>
    <row r="4" spans="1:45" x14ac:dyDescent="0.25">
      <c r="A4" t="s">
        <v>18</v>
      </c>
      <c r="B4" s="1">
        <v>3</v>
      </c>
      <c r="C4" s="1">
        <v>3</v>
      </c>
      <c r="D4" s="1">
        <v>2</v>
      </c>
      <c r="E4" s="1">
        <v>3</v>
      </c>
      <c r="F4" s="1">
        <v>2</v>
      </c>
      <c r="G4" s="1">
        <v>3</v>
      </c>
      <c r="H4" s="1">
        <v>3</v>
      </c>
      <c r="I4" s="1">
        <v>3</v>
      </c>
      <c r="J4" s="1">
        <v>2</v>
      </c>
      <c r="K4" s="1">
        <v>3</v>
      </c>
      <c r="L4" s="1">
        <v>3</v>
      </c>
      <c r="M4" s="1">
        <v>3</v>
      </c>
      <c r="N4" s="1">
        <v>2</v>
      </c>
      <c r="O4" s="1">
        <v>3</v>
      </c>
      <c r="P4" s="1">
        <v>3</v>
      </c>
      <c r="Q4" s="1">
        <v>3</v>
      </c>
      <c r="R4" s="27">
        <f t="shared" si="0"/>
        <v>2.75</v>
      </c>
      <c r="S4" s="28" t="str">
        <f t="shared" si="1"/>
        <v>Regular</v>
      </c>
      <c r="T4" s="28">
        <f t="shared" si="2"/>
        <v>2</v>
      </c>
      <c r="U4" s="32">
        <f t="shared" si="3"/>
        <v>2.75</v>
      </c>
      <c r="V4" s="32" t="str">
        <f t="shared" si="4"/>
        <v>Regular</v>
      </c>
      <c r="W4" s="32">
        <f t="shared" si="5"/>
        <v>2</v>
      </c>
      <c r="X4" s="34">
        <f t="shared" si="6"/>
        <v>2.75</v>
      </c>
      <c r="Y4" s="34" t="str">
        <f t="shared" si="7"/>
        <v>Regular</v>
      </c>
      <c r="Z4" s="34">
        <f t="shared" si="8"/>
        <v>2</v>
      </c>
      <c r="AA4" s="36">
        <f t="shared" si="9"/>
        <v>2.75</v>
      </c>
      <c r="AB4" s="36" t="str">
        <f t="shared" si="10"/>
        <v>Regular</v>
      </c>
      <c r="AC4" s="36">
        <f t="shared" si="11"/>
        <v>2</v>
      </c>
      <c r="AD4" s="37">
        <f t="shared" si="12"/>
        <v>2.75</v>
      </c>
      <c r="AE4" s="38" t="str">
        <f t="shared" si="13"/>
        <v>Regular</v>
      </c>
      <c r="AF4" s="38">
        <f t="shared" si="14"/>
        <v>2</v>
      </c>
    </row>
    <row r="5" spans="1:45" x14ac:dyDescent="0.25">
      <c r="A5" t="s">
        <v>19</v>
      </c>
      <c r="B5" s="1">
        <v>2</v>
      </c>
      <c r="C5" s="1">
        <v>2</v>
      </c>
      <c r="D5" s="1">
        <v>2</v>
      </c>
      <c r="E5" s="1">
        <v>3</v>
      </c>
      <c r="F5" s="1">
        <v>3</v>
      </c>
      <c r="G5" s="1">
        <v>3</v>
      </c>
      <c r="H5" s="1">
        <v>2</v>
      </c>
      <c r="I5" s="1">
        <v>3</v>
      </c>
      <c r="J5" s="1">
        <v>2</v>
      </c>
      <c r="K5" s="1">
        <v>4</v>
      </c>
      <c r="L5" s="1">
        <v>2</v>
      </c>
      <c r="M5" s="1">
        <v>3</v>
      </c>
      <c r="N5" s="1">
        <v>2</v>
      </c>
      <c r="O5" s="1">
        <v>3</v>
      </c>
      <c r="P5" s="1">
        <v>4</v>
      </c>
      <c r="Q5" s="1">
        <v>3</v>
      </c>
      <c r="R5" s="27">
        <f t="shared" si="0"/>
        <v>2.25</v>
      </c>
      <c r="S5" s="28" t="str">
        <f t="shared" si="1"/>
        <v>Mala</v>
      </c>
      <c r="T5" s="28">
        <f t="shared" si="2"/>
        <v>1</v>
      </c>
      <c r="U5" s="32">
        <f t="shared" si="3"/>
        <v>2.75</v>
      </c>
      <c r="V5" s="32" t="str">
        <f t="shared" si="4"/>
        <v>Regular</v>
      </c>
      <c r="W5" s="32">
        <f t="shared" si="5"/>
        <v>2</v>
      </c>
      <c r="X5" s="34">
        <f t="shared" si="6"/>
        <v>2.75</v>
      </c>
      <c r="Y5" s="34" t="str">
        <f t="shared" si="7"/>
        <v>Regular</v>
      </c>
      <c r="Z5" s="34">
        <f t="shared" si="8"/>
        <v>2</v>
      </c>
      <c r="AA5" s="36">
        <f t="shared" si="9"/>
        <v>3</v>
      </c>
      <c r="AB5" s="36" t="str">
        <f t="shared" si="10"/>
        <v>Regular</v>
      </c>
      <c r="AC5" s="36">
        <f t="shared" si="11"/>
        <v>2</v>
      </c>
      <c r="AD5" s="37">
        <f t="shared" si="12"/>
        <v>2.6875</v>
      </c>
      <c r="AE5" s="38" t="str">
        <f t="shared" si="13"/>
        <v>Regular</v>
      </c>
      <c r="AF5" s="38">
        <f t="shared" si="14"/>
        <v>2</v>
      </c>
      <c r="AH5" t="s">
        <v>218</v>
      </c>
      <c r="AI5" s="7" t="s">
        <v>219</v>
      </c>
      <c r="AJ5" s="7" t="s">
        <v>204</v>
      </c>
      <c r="AK5" s="7" t="s">
        <v>205</v>
      </c>
      <c r="AL5" s="7" t="s">
        <v>206</v>
      </c>
      <c r="AM5" s="7" t="s">
        <v>210</v>
      </c>
      <c r="AN5" s="7" t="s">
        <v>207</v>
      </c>
      <c r="AP5" t="s">
        <v>211</v>
      </c>
      <c r="AR5" t="s">
        <v>214</v>
      </c>
      <c r="AS5">
        <v>5</v>
      </c>
    </row>
    <row r="6" spans="1:45" x14ac:dyDescent="0.25">
      <c r="A6" t="s">
        <v>20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4</v>
      </c>
      <c r="J6" s="1">
        <v>4</v>
      </c>
      <c r="K6" s="1">
        <v>4</v>
      </c>
      <c r="L6" s="1">
        <v>3</v>
      </c>
      <c r="M6" s="1">
        <v>4</v>
      </c>
      <c r="N6" s="1">
        <v>4</v>
      </c>
      <c r="O6" s="1">
        <v>3</v>
      </c>
      <c r="P6" s="1">
        <v>3</v>
      </c>
      <c r="Q6" s="1">
        <v>3</v>
      </c>
      <c r="R6" s="27">
        <f t="shared" si="0"/>
        <v>3</v>
      </c>
      <c r="S6" s="28" t="str">
        <f t="shared" si="1"/>
        <v>Regular</v>
      </c>
      <c r="T6" s="28">
        <f t="shared" si="2"/>
        <v>2</v>
      </c>
      <c r="U6" s="32">
        <f t="shared" si="3"/>
        <v>3.25</v>
      </c>
      <c r="V6" s="32" t="str">
        <f t="shared" si="4"/>
        <v>Regular</v>
      </c>
      <c r="W6" s="32">
        <f t="shared" si="5"/>
        <v>2</v>
      </c>
      <c r="X6" s="34">
        <f t="shared" si="6"/>
        <v>3.75</v>
      </c>
      <c r="Y6" s="34" t="str">
        <f t="shared" si="7"/>
        <v>Buena</v>
      </c>
      <c r="Z6" s="34">
        <f t="shared" si="8"/>
        <v>3</v>
      </c>
      <c r="AA6" s="36">
        <f t="shared" si="9"/>
        <v>3.25</v>
      </c>
      <c r="AB6" s="36" t="str">
        <f t="shared" si="10"/>
        <v>Regular</v>
      </c>
      <c r="AC6" s="36">
        <f t="shared" si="11"/>
        <v>2</v>
      </c>
      <c r="AD6" s="37">
        <f t="shared" si="12"/>
        <v>3.3125</v>
      </c>
      <c r="AE6" s="38" t="str">
        <f t="shared" si="13"/>
        <v>Regular</v>
      </c>
      <c r="AF6" s="38">
        <f t="shared" si="14"/>
        <v>2</v>
      </c>
      <c r="AH6" t="str">
        <f>B1</f>
        <v>PRG.1</v>
      </c>
      <c r="AI6" s="5">
        <f>B186</f>
        <v>2.7814207650273226</v>
      </c>
      <c r="AJ6" s="11">
        <f>B193</f>
        <v>0.13114754098360656</v>
      </c>
      <c r="AK6" s="11">
        <f>B194</f>
        <v>0.30054644808743169</v>
      </c>
      <c r="AL6" s="11">
        <f>B195</f>
        <v>0.31693989071038253</v>
      </c>
      <c r="AM6" s="11">
        <f>B196</f>
        <v>0.15846994535519127</v>
      </c>
      <c r="AN6" s="11">
        <f>B197</f>
        <v>9.2896174863387984E-2</v>
      </c>
      <c r="AP6" t="s">
        <v>212</v>
      </c>
      <c r="AR6" t="s">
        <v>215</v>
      </c>
      <c r="AS6">
        <v>1</v>
      </c>
    </row>
    <row r="7" spans="1:45" x14ac:dyDescent="0.25">
      <c r="A7" t="s">
        <v>21</v>
      </c>
      <c r="B7" s="1">
        <v>3</v>
      </c>
      <c r="C7" s="1">
        <v>3</v>
      </c>
      <c r="D7" s="1">
        <v>4</v>
      </c>
      <c r="E7" s="1">
        <v>4</v>
      </c>
      <c r="F7" s="1">
        <v>3</v>
      </c>
      <c r="G7" s="1">
        <v>2</v>
      </c>
      <c r="H7" s="1">
        <v>3</v>
      </c>
      <c r="I7" s="1">
        <v>3</v>
      </c>
      <c r="J7" s="1">
        <v>2</v>
      </c>
      <c r="K7" s="1">
        <v>3</v>
      </c>
      <c r="L7" s="1">
        <v>2</v>
      </c>
      <c r="M7" s="1">
        <v>3</v>
      </c>
      <c r="N7" s="1">
        <v>3</v>
      </c>
      <c r="O7" s="1">
        <v>2</v>
      </c>
      <c r="P7" s="1">
        <v>3</v>
      </c>
      <c r="Q7" s="1">
        <v>2</v>
      </c>
      <c r="R7" s="27">
        <f t="shared" si="0"/>
        <v>3.5</v>
      </c>
      <c r="S7" s="28" t="str">
        <f t="shared" si="1"/>
        <v>Regular</v>
      </c>
      <c r="T7" s="28">
        <f t="shared" si="2"/>
        <v>2</v>
      </c>
      <c r="U7" s="32">
        <f t="shared" si="3"/>
        <v>2.75</v>
      </c>
      <c r="V7" s="32" t="str">
        <f t="shared" si="4"/>
        <v>Regular</v>
      </c>
      <c r="W7" s="32">
        <f t="shared" si="5"/>
        <v>2</v>
      </c>
      <c r="X7" s="34">
        <f t="shared" si="6"/>
        <v>2.5</v>
      </c>
      <c r="Y7" s="34" t="str">
        <f t="shared" si="7"/>
        <v>Regular</v>
      </c>
      <c r="Z7" s="34">
        <f t="shared" si="8"/>
        <v>2</v>
      </c>
      <c r="AA7" s="36">
        <f t="shared" si="9"/>
        <v>2.5</v>
      </c>
      <c r="AB7" s="36" t="str">
        <f t="shared" si="10"/>
        <v>Regular</v>
      </c>
      <c r="AC7" s="36">
        <f t="shared" si="11"/>
        <v>2</v>
      </c>
      <c r="AD7" s="37">
        <f t="shared" si="12"/>
        <v>2.8125</v>
      </c>
      <c r="AE7" s="38" t="str">
        <f t="shared" si="13"/>
        <v>Regular</v>
      </c>
      <c r="AF7" s="38">
        <f t="shared" si="14"/>
        <v>2</v>
      </c>
      <c r="AH7" t="str">
        <f>C1</f>
        <v>PRG.2</v>
      </c>
      <c r="AI7" s="5">
        <f>C186</f>
        <v>2.6939890710382515</v>
      </c>
      <c r="AJ7" s="11">
        <f>C193</f>
        <v>0.14754098360655737</v>
      </c>
      <c r="AK7" s="11">
        <f>C194</f>
        <v>0.30601092896174864</v>
      </c>
      <c r="AL7" s="11">
        <f>C195</f>
        <v>0.32786885245901637</v>
      </c>
      <c r="AM7" s="11">
        <f>C196</f>
        <v>0.14207650273224043</v>
      </c>
      <c r="AN7" s="11">
        <f>C197</f>
        <v>7.650273224043716E-2</v>
      </c>
      <c r="AP7" t="s">
        <v>213</v>
      </c>
      <c r="AR7" t="s">
        <v>216</v>
      </c>
      <c r="AS7">
        <f>AS5-AS6</f>
        <v>4</v>
      </c>
    </row>
    <row r="8" spans="1:45" x14ac:dyDescent="0.25">
      <c r="A8" t="s">
        <v>22</v>
      </c>
      <c r="B8" s="1">
        <v>3</v>
      </c>
      <c r="C8" s="1">
        <v>3</v>
      </c>
      <c r="D8" s="1">
        <v>3</v>
      </c>
      <c r="E8" s="1">
        <v>2</v>
      </c>
      <c r="F8" s="1">
        <v>2</v>
      </c>
      <c r="G8" s="1">
        <v>3</v>
      </c>
      <c r="H8" s="1">
        <v>3</v>
      </c>
      <c r="I8" s="1">
        <v>3</v>
      </c>
      <c r="J8" s="1">
        <v>3</v>
      </c>
      <c r="K8" s="1">
        <v>3</v>
      </c>
      <c r="L8" s="1">
        <v>3</v>
      </c>
      <c r="M8" s="1">
        <v>4</v>
      </c>
      <c r="N8" s="1">
        <v>4</v>
      </c>
      <c r="O8" s="1">
        <v>3</v>
      </c>
      <c r="P8" s="1">
        <v>4</v>
      </c>
      <c r="Q8" s="1">
        <v>2</v>
      </c>
      <c r="R8" s="27">
        <f t="shared" si="0"/>
        <v>2.75</v>
      </c>
      <c r="S8" s="28" t="str">
        <f t="shared" si="1"/>
        <v>Regular</v>
      </c>
      <c r="T8" s="28">
        <f t="shared" si="2"/>
        <v>2</v>
      </c>
      <c r="U8" s="32">
        <f t="shared" si="3"/>
        <v>2.75</v>
      </c>
      <c r="V8" s="32" t="str">
        <f t="shared" si="4"/>
        <v>Regular</v>
      </c>
      <c r="W8" s="32">
        <f t="shared" si="5"/>
        <v>2</v>
      </c>
      <c r="X8" s="34">
        <f t="shared" si="6"/>
        <v>3.25</v>
      </c>
      <c r="Y8" s="34" t="str">
        <f t="shared" si="7"/>
        <v>Regular</v>
      </c>
      <c r="Z8" s="34">
        <f t="shared" si="8"/>
        <v>2</v>
      </c>
      <c r="AA8" s="36">
        <f t="shared" si="9"/>
        <v>3.25</v>
      </c>
      <c r="AB8" s="36" t="str">
        <f t="shared" si="10"/>
        <v>Regular</v>
      </c>
      <c r="AC8" s="36">
        <f t="shared" si="11"/>
        <v>2</v>
      </c>
      <c r="AD8" s="37">
        <f t="shared" si="12"/>
        <v>3</v>
      </c>
      <c r="AE8" s="38" t="str">
        <f t="shared" si="13"/>
        <v>Regular</v>
      </c>
      <c r="AF8" s="38">
        <f t="shared" si="14"/>
        <v>2</v>
      </c>
      <c r="AH8" t="str">
        <f>D1</f>
        <v>PRG.3</v>
      </c>
      <c r="AI8" s="5">
        <f>D186</f>
        <v>2.7486338797814209</v>
      </c>
      <c r="AJ8" s="11">
        <f>D193</f>
        <v>0.16393442622950818</v>
      </c>
      <c r="AK8" s="11">
        <f>D194</f>
        <v>0.28415300546448086</v>
      </c>
      <c r="AL8" s="11">
        <f>D195</f>
        <v>0.28415300546448086</v>
      </c>
      <c r="AM8" s="11">
        <f>D196</f>
        <v>0.17486338797814208</v>
      </c>
      <c r="AN8" s="11">
        <f>D197</f>
        <v>9.2896174863387984E-2</v>
      </c>
      <c r="AR8" t="s">
        <v>217</v>
      </c>
      <c r="AS8" s="6">
        <f>AS7/3</f>
        <v>1.3333333333333333</v>
      </c>
    </row>
    <row r="9" spans="1:45" x14ac:dyDescent="0.25">
      <c r="A9" t="s">
        <v>23</v>
      </c>
      <c r="B9" s="1">
        <v>3</v>
      </c>
      <c r="C9" s="1">
        <v>3</v>
      </c>
      <c r="D9" s="1">
        <v>3</v>
      </c>
      <c r="E9" s="1">
        <v>4</v>
      </c>
      <c r="F9" s="1">
        <v>4</v>
      </c>
      <c r="G9" s="1">
        <v>3</v>
      </c>
      <c r="H9" s="1">
        <v>3</v>
      </c>
      <c r="I9" s="1">
        <v>4</v>
      </c>
      <c r="J9" s="1">
        <v>4</v>
      </c>
      <c r="K9" s="1">
        <v>3</v>
      </c>
      <c r="L9" s="1">
        <v>4</v>
      </c>
      <c r="M9" s="1">
        <v>3</v>
      </c>
      <c r="N9" s="1">
        <v>2</v>
      </c>
      <c r="O9" s="1">
        <v>4</v>
      </c>
      <c r="P9" s="1">
        <v>4</v>
      </c>
      <c r="Q9" s="1">
        <v>3</v>
      </c>
      <c r="R9" s="27">
        <f t="shared" si="0"/>
        <v>3.25</v>
      </c>
      <c r="S9" s="28" t="str">
        <f t="shared" si="1"/>
        <v>Regular</v>
      </c>
      <c r="T9" s="28">
        <f t="shared" si="2"/>
        <v>2</v>
      </c>
      <c r="U9" s="32">
        <f t="shared" si="3"/>
        <v>3.5</v>
      </c>
      <c r="V9" s="32" t="str">
        <f t="shared" si="4"/>
        <v>Regular</v>
      </c>
      <c r="W9" s="32">
        <f t="shared" si="5"/>
        <v>2</v>
      </c>
      <c r="X9" s="34">
        <f t="shared" si="6"/>
        <v>3.5</v>
      </c>
      <c r="Y9" s="34" t="str">
        <f t="shared" si="7"/>
        <v>Regular</v>
      </c>
      <c r="Z9" s="34">
        <f t="shared" si="8"/>
        <v>2</v>
      </c>
      <c r="AA9" s="36">
        <f t="shared" si="9"/>
        <v>3.25</v>
      </c>
      <c r="AB9" s="36" t="str">
        <f t="shared" si="10"/>
        <v>Regular</v>
      </c>
      <c r="AC9" s="36">
        <f t="shared" si="11"/>
        <v>2</v>
      </c>
      <c r="AD9" s="37">
        <f t="shared" si="12"/>
        <v>3.375</v>
      </c>
      <c r="AE9" s="38" t="str">
        <f t="shared" si="13"/>
        <v>Regular</v>
      </c>
      <c r="AF9" s="38">
        <f t="shared" si="14"/>
        <v>2</v>
      </c>
      <c r="AH9" t="str">
        <f>E1</f>
        <v>PRG.4</v>
      </c>
      <c r="AI9" s="5">
        <f>E186</f>
        <v>2.819672131147541</v>
      </c>
      <c r="AJ9" s="11">
        <f>E193</f>
        <v>0.14207650273224043</v>
      </c>
      <c r="AK9" s="11">
        <f>E194</f>
        <v>0.25136612021857924</v>
      </c>
      <c r="AL9" s="11">
        <f>E195</f>
        <v>0.34972677595628415</v>
      </c>
      <c r="AM9" s="11">
        <f>E196</f>
        <v>0.15846994535519127</v>
      </c>
      <c r="AN9" s="11">
        <f>E197</f>
        <v>9.8360655737704916E-2</v>
      </c>
    </row>
    <row r="10" spans="1:45" x14ac:dyDescent="0.25">
      <c r="A10" t="s">
        <v>24</v>
      </c>
      <c r="B10" s="1">
        <v>4</v>
      </c>
      <c r="C10" s="1">
        <v>5</v>
      </c>
      <c r="D10" s="1">
        <v>5</v>
      </c>
      <c r="E10" s="1">
        <v>5</v>
      </c>
      <c r="F10" s="1">
        <v>5</v>
      </c>
      <c r="G10" s="1">
        <v>4</v>
      </c>
      <c r="H10" s="1">
        <v>3</v>
      </c>
      <c r="I10" s="1">
        <v>4</v>
      </c>
      <c r="J10" s="1">
        <v>5</v>
      </c>
      <c r="K10" s="1">
        <v>5</v>
      </c>
      <c r="L10" s="1">
        <v>4</v>
      </c>
      <c r="M10" s="1">
        <v>4</v>
      </c>
      <c r="N10" s="1">
        <v>3</v>
      </c>
      <c r="O10" s="1">
        <v>5</v>
      </c>
      <c r="P10" s="1">
        <v>3</v>
      </c>
      <c r="Q10" s="1">
        <v>5</v>
      </c>
      <c r="R10" s="27">
        <f t="shared" si="0"/>
        <v>4.75</v>
      </c>
      <c r="S10" s="28" t="str">
        <f t="shared" si="1"/>
        <v>Buena</v>
      </c>
      <c r="T10" s="28">
        <f t="shared" si="2"/>
        <v>3</v>
      </c>
      <c r="U10" s="32">
        <f t="shared" si="3"/>
        <v>4</v>
      </c>
      <c r="V10" s="32" t="str">
        <f t="shared" si="4"/>
        <v>Buena</v>
      </c>
      <c r="W10" s="32">
        <f t="shared" si="5"/>
        <v>3</v>
      </c>
      <c r="X10" s="34">
        <f t="shared" si="6"/>
        <v>4.5</v>
      </c>
      <c r="Y10" s="34" t="str">
        <f t="shared" si="7"/>
        <v>Buena</v>
      </c>
      <c r="Z10" s="34">
        <f t="shared" si="8"/>
        <v>3</v>
      </c>
      <c r="AA10" s="36">
        <f t="shared" si="9"/>
        <v>4</v>
      </c>
      <c r="AB10" s="36" t="str">
        <f t="shared" si="10"/>
        <v>Buena</v>
      </c>
      <c r="AC10" s="36">
        <f t="shared" si="11"/>
        <v>3</v>
      </c>
      <c r="AD10" s="37">
        <f t="shared" si="12"/>
        <v>4.3125</v>
      </c>
      <c r="AE10" s="38" t="str">
        <f t="shared" si="13"/>
        <v>Buena</v>
      </c>
      <c r="AF10" s="38">
        <f t="shared" si="14"/>
        <v>3</v>
      </c>
      <c r="AH10" t="s">
        <v>208</v>
      </c>
      <c r="AI10" s="5">
        <f>AVERAGE(AI6:AI9)</f>
        <v>2.7609289617486343</v>
      </c>
      <c r="AJ10" s="5"/>
      <c r="AK10" s="5"/>
      <c r="AL10" s="5"/>
      <c r="AM10" s="5"/>
      <c r="AN10" s="5"/>
      <c r="AP10" s="24"/>
      <c r="AQ10" s="25" t="s">
        <v>227</v>
      </c>
      <c r="AR10" s="25" t="s">
        <v>228</v>
      </c>
      <c r="AS10" s="1"/>
    </row>
    <row r="11" spans="1:45" x14ac:dyDescent="0.25">
      <c r="A11" t="s">
        <v>25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27">
        <f t="shared" si="0"/>
        <v>1</v>
      </c>
      <c r="S11" s="28" t="str">
        <f t="shared" si="1"/>
        <v>Mala</v>
      </c>
      <c r="T11" s="28">
        <f t="shared" si="2"/>
        <v>1</v>
      </c>
      <c r="U11" s="32">
        <f t="shared" si="3"/>
        <v>1</v>
      </c>
      <c r="V11" s="32" t="str">
        <f t="shared" si="4"/>
        <v>Mala</v>
      </c>
      <c r="W11" s="32">
        <f t="shared" si="5"/>
        <v>1</v>
      </c>
      <c r="X11" s="34">
        <f t="shared" si="6"/>
        <v>1</v>
      </c>
      <c r="Y11" s="34" t="str">
        <f t="shared" si="7"/>
        <v>Mala</v>
      </c>
      <c r="Z11" s="34">
        <f t="shared" si="8"/>
        <v>1</v>
      </c>
      <c r="AA11" s="36">
        <f t="shared" si="9"/>
        <v>1</v>
      </c>
      <c r="AB11" s="36" t="str">
        <f t="shared" si="10"/>
        <v>Mala</v>
      </c>
      <c r="AC11" s="36">
        <f t="shared" si="11"/>
        <v>1</v>
      </c>
      <c r="AD11" s="37">
        <f t="shared" si="12"/>
        <v>1</v>
      </c>
      <c r="AE11" s="38" t="str">
        <f t="shared" si="13"/>
        <v>Mala</v>
      </c>
      <c r="AF11" s="38">
        <f t="shared" si="14"/>
        <v>1</v>
      </c>
      <c r="AO11">
        <v>1</v>
      </c>
      <c r="AP11" s="26" t="s">
        <v>224</v>
      </c>
      <c r="AQ11" s="25">
        <v>1</v>
      </c>
      <c r="AR11" s="25">
        <v>2.33</v>
      </c>
      <c r="AS11" s="1"/>
    </row>
    <row r="12" spans="1:45" x14ac:dyDescent="0.25">
      <c r="A12" t="s">
        <v>26</v>
      </c>
      <c r="B12" s="1">
        <v>3</v>
      </c>
      <c r="C12" s="1">
        <v>3</v>
      </c>
      <c r="D12" s="1">
        <v>4</v>
      </c>
      <c r="E12" s="1">
        <v>3</v>
      </c>
      <c r="F12" s="1">
        <v>2</v>
      </c>
      <c r="G12" s="1">
        <v>4</v>
      </c>
      <c r="H12" s="1">
        <v>4</v>
      </c>
      <c r="I12" s="1">
        <v>4</v>
      </c>
      <c r="J12" s="1">
        <v>3</v>
      </c>
      <c r="K12" s="1">
        <v>4</v>
      </c>
      <c r="L12" s="1">
        <v>3</v>
      </c>
      <c r="M12" s="1">
        <v>4</v>
      </c>
      <c r="N12" s="1">
        <v>4</v>
      </c>
      <c r="O12" s="1">
        <v>3</v>
      </c>
      <c r="P12" s="1">
        <v>3</v>
      </c>
      <c r="Q12" s="1">
        <v>4</v>
      </c>
      <c r="R12" s="27">
        <f t="shared" si="0"/>
        <v>3.25</v>
      </c>
      <c r="S12" s="28" t="str">
        <f t="shared" si="1"/>
        <v>Regular</v>
      </c>
      <c r="T12" s="28">
        <f t="shared" si="2"/>
        <v>2</v>
      </c>
      <c r="U12" s="32">
        <f t="shared" si="3"/>
        <v>3.5</v>
      </c>
      <c r="V12" s="32" t="str">
        <f t="shared" si="4"/>
        <v>Regular</v>
      </c>
      <c r="W12" s="32">
        <f t="shared" si="5"/>
        <v>2</v>
      </c>
      <c r="X12" s="34">
        <f t="shared" si="6"/>
        <v>3.5</v>
      </c>
      <c r="Y12" s="34" t="str">
        <f t="shared" si="7"/>
        <v>Regular</v>
      </c>
      <c r="Z12" s="34">
        <f t="shared" si="8"/>
        <v>2</v>
      </c>
      <c r="AA12" s="36">
        <f t="shared" si="9"/>
        <v>3.5</v>
      </c>
      <c r="AB12" s="36" t="str">
        <f t="shared" si="10"/>
        <v>Regular</v>
      </c>
      <c r="AC12" s="36">
        <f t="shared" si="11"/>
        <v>2</v>
      </c>
      <c r="AD12" s="37">
        <f t="shared" si="12"/>
        <v>3.4375</v>
      </c>
      <c r="AE12" s="38" t="str">
        <f t="shared" si="13"/>
        <v>Regular</v>
      </c>
      <c r="AF12" s="38">
        <f t="shared" si="14"/>
        <v>2</v>
      </c>
      <c r="AH12" t="s">
        <v>220</v>
      </c>
      <c r="AO12">
        <v>2</v>
      </c>
      <c r="AP12" s="26" t="s">
        <v>225</v>
      </c>
      <c r="AQ12" s="25">
        <v>2.34</v>
      </c>
      <c r="AR12" s="25">
        <v>3.67</v>
      </c>
      <c r="AS12" s="1"/>
    </row>
    <row r="13" spans="1:45" x14ac:dyDescent="0.25">
      <c r="A13" t="s">
        <v>27</v>
      </c>
      <c r="B13" s="1">
        <v>3</v>
      </c>
      <c r="C13" s="1">
        <v>3</v>
      </c>
      <c r="D13" s="1">
        <v>5</v>
      </c>
      <c r="E13" s="1">
        <v>4</v>
      </c>
      <c r="F13" s="1">
        <v>3</v>
      </c>
      <c r="G13" s="1">
        <v>4</v>
      </c>
      <c r="H13" s="1">
        <v>3</v>
      </c>
      <c r="I13" s="1">
        <v>4</v>
      </c>
      <c r="J13" s="1">
        <v>3</v>
      </c>
      <c r="K13" s="1">
        <v>5</v>
      </c>
      <c r="L13" s="1">
        <v>2</v>
      </c>
      <c r="M13" s="1">
        <v>4</v>
      </c>
      <c r="N13" s="1">
        <v>3</v>
      </c>
      <c r="O13" s="1">
        <v>3</v>
      </c>
      <c r="P13" s="1">
        <v>3</v>
      </c>
      <c r="Q13" s="1">
        <v>4</v>
      </c>
      <c r="R13" s="27">
        <f t="shared" si="0"/>
        <v>3.75</v>
      </c>
      <c r="S13" s="28" t="str">
        <f t="shared" si="1"/>
        <v>Buena</v>
      </c>
      <c r="T13" s="28">
        <f t="shared" si="2"/>
        <v>3</v>
      </c>
      <c r="U13" s="32">
        <f t="shared" si="3"/>
        <v>3.5</v>
      </c>
      <c r="V13" s="32" t="str">
        <f t="shared" si="4"/>
        <v>Regular</v>
      </c>
      <c r="W13" s="32">
        <f t="shared" si="5"/>
        <v>2</v>
      </c>
      <c r="X13" s="34">
        <f t="shared" si="6"/>
        <v>3.5</v>
      </c>
      <c r="Y13" s="34" t="str">
        <f t="shared" si="7"/>
        <v>Regular</v>
      </c>
      <c r="Z13" s="34">
        <f t="shared" si="8"/>
        <v>2</v>
      </c>
      <c r="AA13" s="36">
        <f t="shared" si="9"/>
        <v>3.25</v>
      </c>
      <c r="AB13" s="36" t="str">
        <f t="shared" si="10"/>
        <v>Regular</v>
      </c>
      <c r="AC13" s="36">
        <f t="shared" si="11"/>
        <v>2</v>
      </c>
      <c r="AD13" s="37">
        <f t="shared" si="12"/>
        <v>3.5</v>
      </c>
      <c r="AE13" s="38" t="str">
        <f t="shared" si="13"/>
        <v>Regular</v>
      </c>
      <c r="AF13" s="38">
        <f t="shared" si="14"/>
        <v>2</v>
      </c>
      <c r="AH13" t="s">
        <v>218</v>
      </c>
      <c r="AI13" s="7" t="s">
        <v>219</v>
      </c>
      <c r="AJ13" s="7" t="s">
        <v>204</v>
      </c>
      <c r="AK13" s="7" t="s">
        <v>205</v>
      </c>
      <c r="AL13" s="7" t="s">
        <v>206</v>
      </c>
      <c r="AM13" s="7" t="s">
        <v>210</v>
      </c>
      <c r="AN13" s="7" t="s">
        <v>207</v>
      </c>
      <c r="AO13">
        <v>3</v>
      </c>
      <c r="AP13" s="26" t="s">
        <v>226</v>
      </c>
      <c r="AQ13" s="25">
        <v>3.68</v>
      </c>
      <c r="AR13" s="25">
        <v>5</v>
      </c>
      <c r="AS13" s="1"/>
    </row>
    <row r="14" spans="1:45" x14ac:dyDescent="0.25">
      <c r="A14" t="s">
        <v>28</v>
      </c>
      <c r="B14" s="1">
        <v>2</v>
      </c>
      <c r="C14" s="1">
        <v>3</v>
      </c>
      <c r="D14" s="1">
        <v>3</v>
      </c>
      <c r="E14" s="1">
        <v>3</v>
      </c>
      <c r="F14" s="1">
        <v>3</v>
      </c>
      <c r="G14" s="1">
        <v>2</v>
      </c>
      <c r="H14" s="1">
        <v>3</v>
      </c>
      <c r="I14" s="1">
        <v>3</v>
      </c>
      <c r="J14" s="1">
        <v>2</v>
      </c>
      <c r="K14" s="1">
        <v>3</v>
      </c>
      <c r="L14" s="1">
        <v>3</v>
      </c>
      <c r="M14" s="1">
        <v>3</v>
      </c>
      <c r="N14" s="1">
        <v>3</v>
      </c>
      <c r="O14" s="1">
        <v>3</v>
      </c>
      <c r="P14" s="1">
        <v>3</v>
      </c>
      <c r="Q14" s="1">
        <v>3</v>
      </c>
      <c r="R14" s="27">
        <f t="shared" si="0"/>
        <v>2.75</v>
      </c>
      <c r="S14" s="28" t="str">
        <f t="shared" si="1"/>
        <v>Regular</v>
      </c>
      <c r="T14" s="28">
        <f t="shared" si="2"/>
        <v>2</v>
      </c>
      <c r="U14" s="32">
        <f t="shared" si="3"/>
        <v>2.75</v>
      </c>
      <c r="V14" s="32" t="str">
        <f t="shared" si="4"/>
        <v>Regular</v>
      </c>
      <c r="W14" s="32">
        <f t="shared" si="5"/>
        <v>2</v>
      </c>
      <c r="X14" s="34">
        <f t="shared" si="6"/>
        <v>2.75</v>
      </c>
      <c r="Y14" s="34" t="str">
        <f t="shared" si="7"/>
        <v>Regular</v>
      </c>
      <c r="Z14" s="34">
        <f t="shared" si="8"/>
        <v>2</v>
      </c>
      <c r="AA14" s="36">
        <f t="shared" si="9"/>
        <v>3</v>
      </c>
      <c r="AB14" s="36" t="str">
        <f t="shared" si="10"/>
        <v>Regular</v>
      </c>
      <c r="AC14" s="36">
        <f t="shared" si="11"/>
        <v>2</v>
      </c>
      <c r="AD14" s="37">
        <f t="shared" si="12"/>
        <v>2.8125</v>
      </c>
      <c r="AE14" s="38" t="str">
        <f t="shared" si="13"/>
        <v>Regular</v>
      </c>
      <c r="AF14" s="38">
        <f t="shared" si="14"/>
        <v>2</v>
      </c>
      <c r="AH14" t="str">
        <f>F1</f>
        <v>PRG.5</v>
      </c>
      <c r="AI14" s="12">
        <f>F186</f>
        <v>2.8306010928961749</v>
      </c>
      <c r="AJ14" s="21">
        <f>F193</f>
        <v>0.12568306010928962</v>
      </c>
      <c r="AK14" s="21">
        <f>F194</f>
        <v>0.2896174863387978</v>
      </c>
      <c r="AL14" s="21">
        <f>F195</f>
        <v>0.31693989071038253</v>
      </c>
      <c r="AM14" s="21">
        <f>F196</f>
        <v>0.16393442622950818</v>
      </c>
      <c r="AN14" s="21">
        <f>F197</f>
        <v>0.10382513661202186</v>
      </c>
      <c r="AQ14" s="1"/>
      <c r="AR14" s="1"/>
      <c r="AS14" s="1"/>
    </row>
    <row r="15" spans="1:45" x14ac:dyDescent="0.25">
      <c r="A15" t="s">
        <v>29</v>
      </c>
      <c r="B15" s="1">
        <v>4</v>
      </c>
      <c r="C15" s="1">
        <v>3</v>
      </c>
      <c r="D15" s="1">
        <v>4</v>
      </c>
      <c r="E15" s="1">
        <v>3</v>
      </c>
      <c r="F15" s="1">
        <v>3</v>
      </c>
      <c r="G15" s="1">
        <v>3</v>
      </c>
      <c r="H15" s="1">
        <v>4</v>
      </c>
      <c r="I15" s="1">
        <v>3</v>
      </c>
      <c r="J15" s="1">
        <v>4</v>
      </c>
      <c r="K15" s="1">
        <v>4</v>
      </c>
      <c r="L15" s="1">
        <v>3</v>
      </c>
      <c r="M15" s="1">
        <v>3</v>
      </c>
      <c r="N15" s="1">
        <v>3</v>
      </c>
      <c r="O15" s="1">
        <v>2</v>
      </c>
      <c r="P15" s="1">
        <v>3</v>
      </c>
      <c r="Q15" s="1">
        <v>4</v>
      </c>
      <c r="R15" s="27">
        <f t="shared" si="0"/>
        <v>3.5</v>
      </c>
      <c r="S15" s="28" t="str">
        <f t="shared" si="1"/>
        <v>Regular</v>
      </c>
      <c r="T15" s="28">
        <f t="shared" si="2"/>
        <v>2</v>
      </c>
      <c r="U15" s="32">
        <f t="shared" si="3"/>
        <v>3.25</v>
      </c>
      <c r="V15" s="32" t="str">
        <f t="shared" si="4"/>
        <v>Regular</v>
      </c>
      <c r="W15" s="32">
        <f t="shared" si="5"/>
        <v>2</v>
      </c>
      <c r="X15" s="34">
        <f t="shared" si="6"/>
        <v>3.5</v>
      </c>
      <c r="Y15" s="34" t="str">
        <f t="shared" si="7"/>
        <v>Regular</v>
      </c>
      <c r="Z15" s="34">
        <f t="shared" si="8"/>
        <v>2</v>
      </c>
      <c r="AA15" s="36">
        <f t="shared" si="9"/>
        <v>3</v>
      </c>
      <c r="AB15" s="36" t="str">
        <f t="shared" si="10"/>
        <v>Regular</v>
      </c>
      <c r="AC15" s="36">
        <f t="shared" si="11"/>
        <v>2</v>
      </c>
      <c r="AD15" s="37">
        <f t="shared" si="12"/>
        <v>3.3125</v>
      </c>
      <c r="AE15" s="38" t="str">
        <f t="shared" si="13"/>
        <v>Regular</v>
      </c>
      <c r="AF15" s="38">
        <f t="shared" si="14"/>
        <v>2</v>
      </c>
      <c r="AH15" t="str">
        <f>G1</f>
        <v>PRG.6</v>
      </c>
      <c r="AI15" s="12">
        <f>G186</f>
        <v>2.819672131147541</v>
      </c>
      <c r="AJ15" s="21">
        <f>G193</f>
        <v>0.15300546448087432</v>
      </c>
      <c r="AK15" s="21">
        <f>G194</f>
        <v>0.26229508196721313</v>
      </c>
      <c r="AL15" s="21">
        <f>G195</f>
        <v>0.30601092896174864</v>
      </c>
      <c r="AM15" s="21">
        <f>G196</f>
        <v>0.16939890710382513</v>
      </c>
      <c r="AN15" s="21">
        <f>G197</f>
        <v>0.10928961748633879</v>
      </c>
    </row>
    <row r="16" spans="1:45" x14ac:dyDescent="0.25">
      <c r="A16" t="s">
        <v>30</v>
      </c>
      <c r="B16" s="1">
        <v>2</v>
      </c>
      <c r="C16" s="1">
        <v>1</v>
      </c>
      <c r="D16" s="1">
        <v>1</v>
      </c>
      <c r="E16" s="1">
        <v>2</v>
      </c>
      <c r="F16" s="1">
        <v>2</v>
      </c>
      <c r="G16" s="1">
        <v>1</v>
      </c>
      <c r="H16" s="1">
        <v>1</v>
      </c>
      <c r="I16" s="1">
        <v>1</v>
      </c>
      <c r="J16" s="1">
        <v>2</v>
      </c>
      <c r="K16" s="1">
        <v>1</v>
      </c>
      <c r="L16" s="1">
        <v>2</v>
      </c>
      <c r="M16" s="1">
        <v>1</v>
      </c>
      <c r="N16" s="1">
        <v>1</v>
      </c>
      <c r="O16" s="1">
        <v>2</v>
      </c>
      <c r="P16" s="1">
        <v>1</v>
      </c>
      <c r="Q16" s="1">
        <v>2</v>
      </c>
      <c r="R16" s="27">
        <f t="shared" si="0"/>
        <v>1.5</v>
      </c>
      <c r="S16" s="28" t="str">
        <f t="shared" si="1"/>
        <v>Mala</v>
      </c>
      <c r="T16" s="28">
        <f t="shared" si="2"/>
        <v>1</v>
      </c>
      <c r="U16" s="32">
        <f t="shared" si="3"/>
        <v>1.25</v>
      </c>
      <c r="V16" s="32" t="str">
        <f t="shared" si="4"/>
        <v>Mala</v>
      </c>
      <c r="W16" s="32">
        <f t="shared" si="5"/>
        <v>1</v>
      </c>
      <c r="X16" s="34">
        <f t="shared" si="6"/>
        <v>1.5</v>
      </c>
      <c r="Y16" s="34" t="str">
        <f t="shared" si="7"/>
        <v>Mala</v>
      </c>
      <c r="Z16" s="34">
        <f t="shared" si="8"/>
        <v>1</v>
      </c>
      <c r="AA16" s="36">
        <f t="shared" si="9"/>
        <v>1.5</v>
      </c>
      <c r="AB16" s="36" t="str">
        <f t="shared" si="10"/>
        <v>Mala</v>
      </c>
      <c r="AC16" s="36">
        <f t="shared" si="11"/>
        <v>1</v>
      </c>
      <c r="AD16" s="37">
        <f t="shared" si="12"/>
        <v>1.4375</v>
      </c>
      <c r="AE16" s="38" t="str">
        <f t="shared" si="13"/>
        <v>Mala</v>
      </c>
      <c r="AF16" s="38">
        <f t="shared" si="14"/>
        <v>1</v>
      </c>
      <c r="AH16" t="str">
        <f>H1</f>
        <v>PRG.7</v>
      </c>
      <c r="AI16" s="12">
        <f>H186</f>
        <v>2.7814207650273226</v>
      </c>
      <c r="AJ16" s="21">
        <f>H193</f>
        <v>0.10928961748633879</v>
      </c>
      <c r="AK16" s="21">
        <f>H194</f>
        <v>0.33333333333333331</v>
      </c>
      <c r="AL16" s="21">
        <f>H195</f>
        <v>0.32240437158469948</v>
      </c>
      <c r="AM16" s="21">
        <f>H196</f>
        <v>0.13661202185792351</v>
      </c>
      <c r="AN16" s="21">
        <f>H197</f>
        <v>9.8360655737704916E-2</v>
      </c>
    </row>
    <row r="17" spans="1:40" x14ac:dyDescent="0.25">
      <c r="A17" t="s">
        <v>31</v>
      </c>
      <c r="B17" s="1">
        <v>2</v>
      </c>
      <c r="C17" s="1">
        <v>1</v>
      </c>
      <c r="D17" s="1">
        <v>3</v>
      </c>
      <c r="E17" s="1">
        <v>2</v>
      </c>
      <c r="F17" s="1">
        <v>2</v>
      </c>
      <c r="G17" s="1">
        <v>1</v>
      </c>
      <c r="H17" s="1">
        <v>2</v>
      </c>
      <c r="I17" s="1">
        <v>1</v>
      </c>
      <c r="J17" s="1">
        <v>1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1</v>
      </c>
      <c r="R17" s="27">
        <f t="shared" si="0"/>
        <v>2</v>
      </c>
      <c r="S17" s="28" t="str">
        <f t="shared" si="1"/>
        <v>Mala</v>
      </c>
      <c r="T17" s="28">
        <f t="shared" si="2"/>
        <v>1</v>
      </c>
      <c r="U17" s="32">
        <f t="shared" si="3"/>
        <v>1.5</v>
      </c>
      <c r="V17" s="32" t="str">
        <f t="shared" si="4"/>
        <v>Mala</v>
      </c>
      <c r="W17" s="32">
        <f t="shared" si="5"/>
        <v>1</v>
      </c>
      <c r="X17" s="34">
        <f t="shared" si="6"/>
        <v>1.75</v>
      </c>
      <c r="Y17" s="34" t="str">
        <f t="shared" si="7"/>
        <v>Mala</v>
      </c>
      <c r="Z17" s="34">
        <f t="shared" si="8"/>
        <v>1</v>
      </c>
      <c r="AA17" s="36">
        <f t="shared" si="9"/>
        <v>1.75</v>
      </c>
      <c r="AB17" s="36" t="str">
        <f t="shared" si="10"/>
        <v>Mala</v>
      </c>
      <c r="AC17" s="36">
        <f t="shared" si="11"/>
        <v>1</v>
      </c>
      <c r="AD17" s="37">
        <f t="shared" si="12"/>
        <v>1.75</v>
      </c>
      <c r="AE17" s="38" t="str">
        <f t="shared" si="13"/>
        <v>Mala</v>
      </c>
      <c r="AF17" s="38">
        <f t="shared" si="14"/>
        <v>1</v>
      </c>
      <c r="AH17" t="str">
        <f>I1</f>
        <v>PRG.8</v>
      </c>
      <c r="AI17" s="12">
        <f>I186</f>
        <v>2.8306010928961749</v>
      </c>
      <c r="AJ17" s="21">
        <f>I193</f>
        <v>0.13661202185792351</v>
      </c>
      <c r="AK17" s="21">
        <f>I194</f>
        <v>0.26775956284153007</v>
      </c>
      <c r="AL17" s="21">
        <f>I195</f>
        <v>0.31693989071038253</v>
      </c>
      <c r="AM17" s="21">
        <f>I196</f>
        <v>0.18579234972677597</v>
      </c>
      <c r="AN17" s="21">
        <f>I197</f>
        <v>9.2896174863387984E-2</v>
      </c>
    </row>
    <row r="18" spans="1:40" x14ac:dyDescent="0.25">
      <c r="A18" t="s">
        <v>32</v>
      </c>
      <c r="B18" s="1">
        <v>3</v>
      </c>
      <c r="C18" s="1">
        <v>3</v>
      </c>
      <c r="D18" s="1">
        <v>4</v>
      </c>
      <c r="E18" s="1">
        <v>3</v>
      </c>
      <c r="F18" s="1">
        <v>5</v>
      </c>
      <c r="G18" s="1">
        <v>3</v>
      </c>
      <c r="H18" s="1">
        <v>3</v>
      </c>
      <c r="I18" s="1">
        <v>3</v>
      </c>
      <c r="J18" s="1">
        <v>5</v>
      </c>
      <c r="K18" s="1">
        <v>4</v>
      </c>
      <c r="L18" s="1">
        <v>5</v>
      </c>
      <c r="M18" s="1">
        <v>4</v>
      </c>
      <c r="N18" s="1">
        <v>5</v>
      </c>
      <c r="O18" s="1">
        <v>5</v>
      </c>
      <c r="P18" s="1">
        <v>5</v>
      </c>
      <c r="Q18" s="1">
        <v>4</v>
      </c>
      <c r="R18" s="27">
        <f t="shared" si="0"/>
        <v>3.25</v>
      </c>
      <c r="S18" s="28" t="str">
        <f t="shared" si="1"/>
        <v>Regular</v>
      </c>
      <c r="T18" s="28">
        <f t="shared" si="2"/>
        <v>2</v>
      </c>
      <c r="U18" s="32">
        <f t="shared" si="3"/>
        <v>3.5</v>
      </c>
      <c r="V18" s="32" t="str">
        <f t="shared" si="4"/>
        <v>Regular</v>
      </c>
      <c r="W18" s="32">
        <f t="shared" si="5"/>
        <v>2</v>
      </c>
      <c r="X18" s="34">
        <f t="shared" si="6"/>
        <v>4.5</v>
      </c>
      <c r="Y18" s="34" t="str">
        <f t="shared" si="7"/>
        <v>Buena</v>
      </c>
      <c r="Z18" s="34">
        <f t="shared" si="8"/>
        <v>3</v>
      </c>
      <c r="AA18" s="36">
        <f t="shared" si="9"/>
        <v>4.75</v>
      </c>
      <c r="AB18" s="36" t="str">
        <f t="shared" si="10"/>
        <v>Buena</v>
      </c>
      <c r="AC18" s="36">
        <f t="shared" si="11"/>
        <v>3</v>
      </c>
      <c r="AD18" s="37">
        <f t="shared" si="12"/>
        <v>4</v>
      </c>
      <c r="AE18" s="38" t="str">
        <f t="shared" si="13"/>
        <v>Buena</v>
      </c>
      <c r="AF18" s="38">
        <f t="shared" si="14"/>
        <v>3</v>
      </c>
      <c r="AH18" t="s">
        <v>208</v>
      </c>
      <c r="AI18" s="12">
        <f>AVERAGE(AI14:AI17)</f>
        <v>2.8155737704918034</v>
      </c>
      <c r="AJ18" s="12">
        <f t="shared" ref="AJ18:AN18" si="15">AVERAGE(AJ14:AJ17)</f>
        <v>0.13114754098360656</v>
      </c>
      <c r="AK18" s="12">
        <f t="shared" si="15"/>
        <v>0.28825136612021857</v>
      </c>
      <c r="AL18" s="12">
        <f t="shared" si="15"/>
        <v>0.3155737704918033</v>
      </c>
      <c r="AM18" s="12">
        <f t="shared" si="15"/>
        <v>0.16393442622950818</v>
      </c>
      <c r="AN18" s="12">
        <f t="shared" si="15"/>
        <v>0.10109289617486339</v>
      </c>
    </row>
    <row r="19" spans="1:40" x14ac:dyDescent="0.25">
      <c r="A19" t="s">
        <v>33</v>
      </c>
      <c r="B19" s="1">
        <v>5</v>
      </c>
      <c r="C19" s="1">
        <v>5</v>
      </c>
      <c r="D19" s="1">
        <v>5</v>
      </c>
      <c r="E19" s="1">
        <v>5</v>
      </c>
      <c r="F19" s="1">
        <v>4</v>
      </c>
      <c r="G19" s="1">
        <v>3</v>
      </c>
      <c r="H19" s="1">
        <v>4</v>
      </c>
      <c r="I19" s="1">
        <v>5</v>
      </c>
      <c r="J19" s="1">
        <v>5</v>
      </c>
      <c r="K19" s="1">
        <v>3</v>
      </c>
      <c r="L19" s="1">
        <v>4</v>
      </c>
      <c r="M19" s="1">
        <v>5</v>
      </c>
      <c r="N19" s="1">
        <v>3</v>
      </c>
      <c r="O19" s="1">
        <v>5</v>
      </c>
      <c r="P19" s="1">
        <v>3</v>
      </c>
      <c r="Q19" s="1">
        <v>5</v>
      </c>
      <c r="R19" s="27">
        <f t="shared" si="0"/>
        <v>5</v>
      </c>
      <c r="S19" s="28" t="str">
        <f t="shared" si="1"/>
        <v>Buena</v>
      </c>
      <c r="T19" s="28">
        <f t="shared" si="2"/>
        <v>3</v>
      </c>
      <c r="U19" s="32">
        <f t="shared" si="3"/>
        <v>4</v>
      </c>
      <c r="V19" s="32" t="str">
        <f t="shared" si="4"/>
        <v>Buena</v>
      </c>
      <c r="W19" s="32">
        <f t="shared" si="5"/>
        <v>3</v>
      </c>
      <c r="X19" s="34">
        <f t="shared" si="6"/>
        <v>4.25</v>
      </c>
      <c r="Y19" s="34" t="str">
        <f t="shared" si="7"/>
        <v>Buena</v>
      </c>
      <c r="Z19" s="34">
        <f t="shared" si="8"/>
        <v>3</v>
      </c>
      <c r="AA19" s="36">
        <f t="shared" si="9"/>
        <v>4</v>
      </c>
      <c r="AB19" s="36" t="str">
        <f t="shared" si="10"/>
        <v>Buena</v>
      </c>
      <c r="AC19" s="36">
        <f t="shared" si="11"/>
        <v>3</v>
      </c>
      <c r="AD19" s="37">
        <f t="shared" si="12"/>
        <v>4.3125</v>
      </c>
      <c r="AE19" s="38" t="str">
        <f t="shared" si="13"/>
        <v>Buena</v>
      </c>
      <c r="AF19" s="38">
        <f t="shared" si="14"/>
        <v>3</v>
      </c>
    </row>
    <row r="20" spans="1:40" x14ac:dyDescent="0.25">
      <c r="A20" t="s">
        <v>34</v>
      </c>
      <c r="B20" s="1">
        <v>1</v>
      </c>
      <c r="C20" s="1">
        <v>1</v>
      </c>
      <c r="D20" s="1">
        <v>1</v>
      </c>
      <c r="E20" s="1">
        <v>1</v>
      </c>
      <c r="F20" s="1">
        <v>2</v>
      </c>
      <c r="G20" s="1">
        <v>1</v>
      </c>
      <c r="H20" s="1">
        <v>1</v>
      </c>
      <c r="I20" s="1">
        <v>1</v>
      </c>
      <c r="J20" s="1">
        <v>1</v>
      </c>
      <c r="K20" s="1">
        <v>2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27">
        <f t="shared" si="0"/>
        <v>1</v>
      </c>
      <c r="S20" s="28" t="str">
        <f t="shared" si="1"/>
        <v>Mala</v>
      </c>
      <c r="T20" s="28">
        <f t="shared" si="2"/>
        <v>1</v>
      </c>
      <c r="U20" s="32">
        <f t="shared" si="3"/>
        <v>1.25</v>
      </c>
      <c r="V20" s="32" t="str">
        <f t="shared" si="4"/>
        <v>Mala</v>
      </c>
      <c r="W20" s="32">
        <f t="shared" si="5"/>
        <v>1</v>
      </c>
      <c r="X20" s="34">
        <f t="shared" si="6"/>
        <v>1.25</v>
      </c>
      <c r="Y20" s="34" t="str">
        <f t="shared" si="7"/>
        <v>Mala</v>
      </c>
      <c r="Z20" s="34">
        <f t="shared" si="8"/>
        <v>1</v>
      </c>
      <c r="AA20" s="36">
        <f t="shared" si="9"/>
        <v>1</v>
      </c>
      <c r="AB20" s="36" t="str">
        <f t="shared" si="10"/>
        <v>Mala</v>
      </c>
      <c r="AC20" s="36">
        <f t="shared" si="11"/>
        <v>1</v>
      </c>
      <c r="AD20" s="37">
        <f t="shared" si="12"/>
        <v>1.125</v>
      </c>
      <c r="AE20" s="38" t="str">
        <f t="shared" si="13"/>
        <v>Mala</v>
      </c>
      <c r="AF20" s="38">
        <f t="shared" si="14"/>
        <v>1</v>
      </c>
      <c r="AH20" t="s">
        <v>221</v>
      </c>
    </row>
    <row r="21" spans="1:40" x14ac:dyDescent="0.25">
      <c r="A21" t="s">
        <v>35</v>
      </c>
      <c r="B21" s="1">
        <v>3</v>
      </c>
      <c r="C21" s="1">
        <v>3</v>
      </c>
      <c r="D21" s="1">
        <v>4</v>
      </c>
      <c r="E21" s="1">
        <v>5</v>
      </c>
      <c r="F21" s="1">
        <v>4</v>
      </c>
      <c r="G21" s="1">
        <v>3</v>
      </c>
      <c r="H21" s="1">
        <v>3</v>
      </c>
      <c r="I21" s="1">
        <v>2</v>
      </c>
      <c r="J21" s="1">
        <v>5</v>
      </c>
      <c r="K21" s="1">
        <v>3</v>
      </c>
      <c r="L21" s="1">
        <v>4</v>
      </c>
      <c r="M21" s="1">
        <v>3</v>
      </c>
      <c r="N21" s="1">
        <v>3</v>
      </c>
      <c r="O21" s="1">
        <v>4</v>
      </c>
      <c r="P21" s="1">
        <v>3</v>
      </c>
      <c r="Q21" s="1">
        <v>3</v>
      </c>
      <c r="R21" s="27">
        <f t="shared" si="0"/>
        <v>3.75</v>
      </c>
      <c r="S21" s="28" t="str">
        <f t="shared" si="1"/>
        <v>Buena</v>
      </c>
      <c r="T21" s="28">
        <f t="shared" si="2"/>
        <v>3</v>
      </c>
      <c r="U21" s="32">
        <f t="shared" si="3"/>
        <v>3</v>
      </c>
      <c r="V21" s="32" t="str">
        <f t="shared" si="4"/>
        <v>Regular</v>
      </c>
      <c r="W21" s="32">
        <f t="shared" si="5"/>
        <v>2</v>
      </c>
      <c r="X21" s="34">
        <f t="shared" si="6"/>
        <v>3.75</v>
      </c>
      <c r="Y21" s="34" t="str">
        <f t="shared" si="7"/>
        <v>Buena</v>
      </c>
      <c r="Z21" s="34">
        <f t="shared" si="8"/>
        <v>3</v>
      </c>
      <c r="AA21" s="36">
        <f t="shared" si="9"/>
        <v>3.25</v>
      </c>
      <c r="AB21" s="36" t="str">
        <f t="shared" si="10"/>
        <v>Regular</v>
      </c>
      <c r="AC21" s="36">
        <f t="shared" si="11"/>
        <v>2</v>
      </c>
      <c r="AD21" s="37">
        <f t="shared" si="12"/>
        <v>3.4375</v>
      </c>
      <c r="AE21" s="38" t="str">
        <f t="shared" si="13"/>
        <v>Regular</v>
      </c>
      <c r="AF21" s="38">
        <f t="shared" si="14"/>
        <v>2</v>
      </c>
      <c r="AH21" t="s">
        <v>218</v>
      </c>
      <c r="AI21" s="7" t="s">
        <v>219</v>
      </c>
      <c r="AJ21" s="7" t="s">
        <v>204</v>
      </c>
      <c r="AK21" s="7" t="s">
        <v>205</v>
      </c>
      <c r="AL21" s="7" t="s">
        <v>206</v>
      </c>
      <c r="AM21" s="7" t="s">
        <v>210</v>
      </c>
      <c r="AN21" s="7" t="s">
        <v>207</v>
      </c>
    </row>
    <row r="22" spans="1:40" x14ac:dyDescent="0.25">
      <c r="A22" t="s">
        <v>36</v>
      </c>
      <c r="B22" s="1">
        <v>3</v>
      </c>
      <c r="C22" s="1">
        <v>3</v>
      </c>
      <c r="D22" s="1">
        <v>2</v>
      </c>
      <c r="E22" s="1">
        <v>3</v>
      </c>
      <c r="F22" s="1">
        <v>3</v>
      </c>
      <c r="G22" s="1">
        <v>2</v>
      </c>
      <c r="H22" s="1">
        <v>2</v>
      </c>
      <c r="I22" s="1">
        <v>2</v>
      </c>
      <c r="J22" s="1">
        <v>3</v>
      </c>
      <c r="K22" s="1">
        <v>2</v>
      </c>
      <c r="L22" s="1">
        <v>3</v>
      </c>
      <c r="M22" s="1">
        <v>3</v>
      </c>
      <c r="N22" s="1">
        <v>2</v>
      </c>
      <c r="O22" s="1">
        <v>2</v>
      </c>
      <c r="P22" s="1">
        <v>3</v>
      </c>
      <c r="Q22" s="1">
        <v>3</v>
      </c>
      <c r="R22" s="27">
        <f t="shared" si="0"/>
        <v>2.75</v>
      </c>
      <c r="S22" s="28" t="str">
        <f t="shared" si="1"/>
        <v>Regular</v>
      </c>
      <c r="T22" s="28">
        <f t="shared" si="2"/>
        <v>2</v>
      </c>
      <c r="U22" s="32">
        <f t="shared" si="3"/>
        <v>2.25</v>
      </c>
      <c r="V22" s="32" t="str">
        <f t="shared" si="4"/>
        <v>Mala</v>
      </c>
      <c r="W22" s="32">
        <f t="shared" si="5"/>
        <v>1</v>
      </c>
      <c r="X22" s="34">
        <f t="shared" si="6"/>
        <v>2.75</v>
      </c>
      <c r="Y22" s="34" t="str">
        <f t="shared" si="7"/>
        <v>Regular</v>
      </c>
      <c r="Z22" s="34">
        <f t="shared" si="8"/>
        <v>2</v>
      </c>
      <c r="AA22" s="36">
        <f t="shared" si="9"/>
        <v>2.5</v>
      </c>
      <c r="AB22" s="36" t="str">
        <f t="shared" si="10"/>
        <v>Regular</v>
      </c>
      <c r="AC22" s="36">
        <f t="shared" si="11"/>
        <v>2</v>
      </c>
      <c r="AD22" s="37">
        <f t="shared" si="12"/>
        <v>2.5625</v>
      </c>
      <c r="AE22" s="38" t="str">
        <f t="shared" si="13"/>
        <v>Regular</v>
      </c>
      <c r="AF22" s="38">
        <f t="shared" si="14"/>
        <v>2</v>
      </c>
      <c r="AH22" t="str">
        <f>J1</f>
        <v>PRG.9</v>
      </c>
      <c r="AI22" s="12">
        <f>J186</f>
        <v>2.7322404371584699</v>
      </c>
      <c r="AJ22" s="20">
        <f>J193</f>
        <v>0.14207650273224043</v>
      </c>
      <c r="AK22" s="20">
        <f>J194</f>
        <v>0.31693989071038253</v>
      </c>
      <c r="AL22" s="20">
        <f>J195</f>
        <v>0.28415300546448086</v>
      </c>
      <c r="AM22" s="20">
        <f>J196</f>
        <v>0.18032786885245902</v>
      </c>
      <c r="AN22" s="20">
        <f>J197</f>
        <v>7.650273224043716E-2</v>
      </c>
    </row>
    <row r="23" spans="1:40" x14ac:dyDescent="0.25">
      <c r="A23" t="s">
        <v>37</v>
      </c>
      <c r="B23" s="1">
        <v>5</v>
      </c>
      <c r="C23" s="1">
        <v>3</v>
      </c>
      <c r="D23" s="1">
        <v>5</v>
      </c>
      <c r="E23" s="1">
        <v>5</v>
      </c>
      <c r="F23" s="1">
        <v>5</v>
      </c>
      <c r="G23" s="1">
        <v>3</v>
      </c>
      <c r="H23" s="1">
        <v>5</v>
      </c>
      <c r="I23" s="1">
        <v>4</v>
      </c>
      <c r="J23" s="1">
        <v>3</v>
      </c>
      <c r="K23" s="1">
        <v>5</v>
      </c>
      <c r="L23" s="1">
        <v>3</v>
      </c>
      <c r="M23" s="1">
        <v>4</v>
      </c>
      <c r="N23" s="1">
        <v>4</v>
      </c>
      <c r="O23" s="1">
        <v>4</v>
      </c>
      <c r="P23" s="1">
        <v>5</v>
      </c>
      <c r="Q23" s="1">
        <v>3</v>
      </c>
      <c r="R23" s="27">
        <f t="shared" si="0"/>
        <v>4.5</v>
      </c>
      <c r="S23" s="28" t="str">
        <f t="shared" si="1"/>
        <v>Buena</v>
      </c>
      <c r="T23" s="28">
        <f t="shared" si="2"/>
        <v>3</v>
      </c>
      <c r="U23" s="32">
        <f t="shared" si="3"/>
        <v>4.25</v>
      </c>
      <c r="V23" s="32" t="str">
        <f t="shared" si="4"/>
        <v>Buena</v>
      </c>
      <c r="W23" s="32">
        <f t="shared" si="5"/>
        <v>3</v>
      </c>
      <c r="X23" s="34">
        <f t="shared" si="6"/>
        <v>3.75</v>
      </c>
      <c r="Y23" s="34" t="str">
        <f t="shared" si="7"/>
        <v>Buena</v>
      </c>
      <c r="Z23" s="34">
        <f t="shared" si="8"/>
        <v>3</v>
      </c>
      <c r="AA23" s="36">
        <f t="shared" si="9"/>
        <v>4</v>
      </c>
      <c r="AB23" s="36" t="str">
        <f t="shared" si="10"/>
        <v>Buena</v>
      </c>
      <c r="AC23" s="36">
        <f t="shared" si="11"/>
        <v>3</v>
      </c>
      <c r="AD23" s="37">
        <f t="shared" si="12"/>
        <v>4.125</v>
      </c>
      <c r="AE23" s="38" t="str">
        <f t="shared" si="13"/>
        <v>Buena</v>
      </c>
      <c r="AF23" s="38">
        <f t="shared" si="14"/>
        <v>3</v>
      </c>
      <c r="AH23" t="str">
        <f>K1</f>
        <v>PRG.10</v>
      </c>
      <c r="AI23" s="12">
        <f>K186</f>
        <v>2.7759562841530054</v>
      </c>
      <c r="AJ23" s="20">
        <f>K193</f>
        <v>0.13661202185792351</v>
      </c>
      <c r="AK23" s="20">
        <f>K194</f>
        <v>0.30054644808743169</v>
      </c>
      <c r="AL23" s="20">
        <f>K195</f>
        <v>0.30601092896174864</v>
      </c>
      <c r="AM23" s="20">
        <f>K196</f>
        <v>0.16393442622950818</v>
      </c>
      <c r="AN23" s="20">
        <f>K197</f>
        <v>9.2896174863387984E-2</v>
      </c>
    </row>
    <row r="24" spans="1:40" x14ac:dyDescent="0.25">
      <c r="A24" t="s">
        <v>38</v>
      </c>
      <c r="B24" s="1">
        <v>2</v>
      </c>
      <c r="C24" s="1">
        <v>2</v>
      </c>
      <c r="D24" s="1">
        <v>3</v>
      </c>
      <c r="E24" s="1">
        <v>4</v>
      </c>
      <c r="F24" s="1">
        <v>3</v>
      </c>
      <c r="G24" s="1">
        <v>3</v>
      </c>
      <c r="H24" s="1">
        <v>3</v>
      </c>
      <c r="I24" s="1">
        <v>3</v>
      </c>
      <c r="J24" s="1">
        <v>2</v>
      </c>
      <c r="K24" s="1">
        <v>3</v>
      </c>
      <c r="L24" s="1">
        <v>3</v>
      </c>
      <c r="M24" s="1">
        <v>4</v>
      </c>
      <c r="N24" s="1">
        <v>4</v>
      </c>
      <c r="O24" s="1">
        <v>2</v>
      </c>
      <c r="P24" s="1">
        <v>3</v>
      </c>
      <c r="Q24" s="1">
        <v>3</v>
      </c>
      <c r="R24" s="27">
        <f t="shared" si="0"/>
        <v>2.75</v>
      </c>
      <c r="S24" s="28" t="str">
        <f t="shared" si="1"/>
        <v>Regular</v>
      </c>
      <c r="T24" s="28">
        <f t="shared" si="2"/>
        <v>2</v>
      </c>
      <c r="U24" s="32">
        <f t="shared" si="3"/>
        <v>3</v>
      </c>
      <c r="V24" s="32" t="str">
        <f t="shared" si="4"/>
        <v>Regular</v>
      </c>
      <c r="W24" s="32">
        <f t="shared" si="5"/>
        <v>2</v>
      </c>
      <c r="X24" s="34">
        <f t="shared" si="6"/>
        <v>3</v>
      </c>
      <c r="Y24" s="34" t="str">
        <f t="shared" si="7"/>
        <v>Regular</v>
      </c>
      <c r="Z24" s="34">
        <f t="shared" si="8"/>
        <v>2</v>
      </c>
      <c r="AA24" s="36">
        <f t="shared" si="9"/>
        <v>3</v>
      </c>
      <c r="AB24" s="36" t="str">
        <f t="shared" si="10"/>
        <v>Regular</v>
      </c>
      <c r="AC24" s="36">
        <f t="shared" si="11"/>
        <v>2</v>
      </c>
      <c r="AD24" s="37">
        <f t="shared" si="12"/>
        <v>2.9375</v>
      </c>
      <c r="AE24" s="38" t="str">
        <f t="shared" si="13"/>
        <v>Regular</v>
      </c>
      <c r="AF24" s="38">
        <f t="shared" si="14"/>
        <v>2</v>
      </c>
      <c r="AH24" t="str">
        <f>L1</f>
        <v>PRG.11</v>
      </c>
      <c r="AI24" s="12">
        <f>L186</f>
        <v>2.819672131147541</v>
      </c>
      <c r="AJ24" s="20">
        <f>L193</f>
        <v>0.11475409836065574</v>
      </c>
      <c r="AK24" s="20">
        <f>L194</f>
        <v>0.32786885245901637</v>
      </c>
      <c r="AL24" s="20">
        <f>L195</f>
        <v>0.30054644808743169</v>
      </c>
      <c r="AM24" s="20">
        <f>L196</f>
        <v>0.13661202185792351</v>
      </c>
      <c r="AN24" s="20">
        <f>L197</f>
        <v>0.12021857923497267</v>
      </c>
    </row>
    <row r="25" spans="1:40" x14ac:dyDescent="0.25">
      <c r="A25" t="s">
        <v>39</v>
      </c>
      <c r="B25" s="1">
        <v>5</v>
      </c>
      <c r="C25" s="1">
        <v>5</v>
      </c>
      <c r="D25" s="1">
        <v>4</v>
      </c>
      <c r="E25" s="1">
        <v>3</v>
      </c>
      <c r="F25" s="1">
        <v>5</v>
      </c>
      <c r="G25" s="1">
        <v>5</v>
      </c>
      <c r="H25" s="1">
        <v>4</v>
      </c>
      <c r="I25" s="1">
        <v>4</v>
      </c>
      <c r="J25" s="1">
        <v>4</v>
      </c>
      <c r="K25" s="1">
        <v>5</v>
      </c>
      <c r="L25" s="1">
        <v>4</v>
      </c>
      <c r="M25" s="1">
        <v>5</v>
      </c>
      <c r="N25" s="1">
        <v>5</v>
      </c>
      <c r="O25" s="1">
        <v>5</v>
      </c>
      <c r="P25" s="1">
        <v>5</v>
      </c>
      <c r="Q25" s="1">
        <v>4</v>
      </c>
      <c r="R25" s="27">
        <f t="shared" si="0"/>
        <v>4.25</v>
      </c>
      <c r="S25" s="28" t="str">
        <f t="shared" si="1"/>
        <v>Buena</v>
      </c>
      <c r="T25" s="28">
        <f t="shared" si="2"/>
        <v>3</v>
      </c>
      <c r="U25" s="32">
        <f t="shared" si="3"/>
        <v>4.5</v>
      </c>
      <c r="V25" s="32" t="str">
        <f t="shared" si="4"/>
        <v>Buena</v>
      </c>
      <c r="W25" s="32">
        <f t="shared" si="5"/>
        <v>3</v>
      </c>
      <c r="X25" s="34">
        <f t="shared" si="6"/>
        <v>4.5</v>
      </c>
      <c r="Y25" s="34" t="str">
        <f t="shared" si="7"/>
        <v>Buena</v>
      </c>
      <c r="Z25" s="34">
        <f t="shared" si="8"/>
        <v>3</v>
      </c>
      <c r="AA25" s="36">
        <f t="shared" si="9"/>
        <v>4.75</v>
      </c>
      <c r="AB25" s="36" t="str">
        <f t="shared" si="10"/>
        <v>Buena</v>
      </c>
      <c r="AC25" s="36">
        <f t="shared" si="11"/>
        <v>3</v>
      </c>
      <c r="AD25" s="37">
        <f t="shared" si="12"/>
        <v>4.5</v>
      </c>
      <c r="AE25" s="38" t="str">
        <f t="shared" si="13"/>
        <v>Buena</v>
      </c>
      <c r="AF25" s="38">
        <f t="shared" si="14"/>
        <v>3</v>
      </c>
      <c r="AH25" t="str">
        <f>M1</f>
        <v>PRG.12</v>
      </c>
      <c r="AI25" s="12">
        <f>M186</f>
        <v>2.7267759562841531</v>
      </c>
      <c r="AJ25" s="20">
        <f>M193</f>
        <v>0.17486338797814208</v>
      </c>
      <c r="AK25" s="20">
        <f>M194</f>
        <v>0.29508196721311475</v>
      </c>
      <c r="AL25" s="20">
        <f>M195</f>
        <v>0.24590163934426229</v>
      </c>
      <c r="AM25" s="20">
        <f>M196</f>
        <v>0.19672131147540983</v>
      </c>
      <c r="AN25" s="20">
        <f>M197</f>
        <v>8.7431693989071038E-2</v>
      </c>
    </row>
    <row r="26" spans="1:40" x14ac:dyDescent="0.25">
      <c r="A26" t="s">
        <v>40</v>
      </c>
      <c r="B26" s="1">
        <v>3</v>
      </c>
      <c r="C26" s="1">
        <v>3</v>
      </c>
      <c r="D26" s="1">
        <v>2</v>
      </c>
      <c r="E26" s="1">
        <v>3</v>
      </c>
      <c r="F26" s="1">
        <v>4</v>
      </c>
      <c r="G26" s="1">
        <v>3</v>
      </c>
      <c r="H26" s="1">
        <v>2</v>
      </c>
      <c r="I26" s="1">
        <v>3</v>
      </c>
      <c r="J26" s="1">
        <v>2</v>
      </c>
      <c r="K26" s="1">
        <v>3</v>
      </c>
      <c r="L26" s="1">
        <v>3</v>
      </c>
      <c r="M26" s="1">
        <v>3</v>
      </c>
      <c r="N26" s="1">
        <v>2</v>
      </c>
      <c r="O26" s="1">
        <v>4</v>
      </c>
      <c r="P26" s="1">
        <v>2</v>
      </c>
      <c r="Q26" s="1">
        <v>2</v>
      </c>
      <c r="R26" s="27">
        <f t="shared" si="0"/>
        <v>2.75</v>
      </c>
      <c r="S26" s="28" t="str">
        <f t="shared" si="1"/>
        <v>Regular</v>
      </c>
      <c r="T26" s="28">
        <f t="shared" si="2"/>
        <v>2</v>
      </c>
      <c r="U26" s="32">
        <f t="shared" si="3"/>
        <v>3</v>
      </c>
      <c r="V26" s="32" t="str">
        <f t="shared" si="4"/>
        <v>Regular</v>
      </c>
      <c r="W26" s="32">
        <f t="shared" si="5"/>
        <v>2</v>
      </c>
      <c r="X26" s="34">
        <f t="shared" si="6"/>
        <v>2.75</v>
      </c>
      <c r="Y26" s="34" t="str">
        <f t="shared" si="7"/>
        <v>Regular</v>
      </c>
      <c r="Z26" s="34">
        <f t="shared" si="8"/>
        <v>2</v>
      </c>
      <c r="AA26" s="36">
        <f t="shared" si="9"/>
        <v>2.5</v>
      </c>
      <c r="AB26" s="36" t="str">
        <f t="shared" si="10"/>
        <v>Regular</v>
      </c>
      <c r="AC26" s="36">
        <f t="shared" si="11"/>
        <v>2</v>
      </c>
      <c r="AD26" s="37">
        <f t="shared" si="12"/>
        <v>2.75</v>
      </c>
      <c r="AE26" s="38" t="str">
        <f t="shared" si="13"/>
        <v>Regular</v>
      </c>
      <c r="AF26" s="38">
        <f t="shared" si="14"/>
        <v>2</v>
      </c>
      <c r="AH26" t="s">
        <v>208</v>
      </c>
      <c r="AI26" s="12">
        <f>AVERAGE(AI22:AI25)</f>
        <v>2.7636612021857925</v>
      </c>
      <c r="AJ26" s="12">
        <f t="shared" ref="AJ26:AN26" si="16">AVERAGE(AJ22:AJ25)</f>
        <v>0.14207650273224043</v>
      </c>
      <c r="AK26" s="12">
        <f t="shared" si="16"/>
        <v>0.31010928961748629</v>
      </c>
      <c r="AL26" s="12">
        <f t="shared" si="16"/>
        <v>0.28415300546448086</v>
      </c>
      <c r="AM26" s="12">
        <f t="shared" si="16"/>
        <v>0.16939890710382513</v>
      </c>
      <c r="AN26" s="12">
        <f t="shared" si="16"/>
        <v>9.4262295081967207E-2</v>
      </c>
    </row>
    <row r="27" spans="1:40" x14ac:dyDescent="0.25">
      <c r="A27" t="s">
        <v>41</v>
      </c>
      <c r="B27" s="1">
        <v>3</v>
      </c>
      <c r="C27" s="1">
        <v>2</v>
      </c>
      <c r="D27" s="1">
        <v>4</v>
      </c>
      <c r="E27" s="1">
        <v>4</v>
      </c>
      <c r="F27" s="1">
        <v>4</v>
      </c>
      <c r="G27" s="1">
        <v>3</v>
      </c>
      <c r="H27" s="1">
        <v>4</v>
      </c>
      <c r="I27" s="1">
        <v>4</v>
      </c>
      <c r="J27" s="1">
        <v>4</v>
      </c>
      <c r="K27" s="1">
        <v>3</v>
      </c>
      <c r="L27" s="1">
        <v>3</v>
      </c>
      <c r="M27" s="1">
        <v>4</v>
      </c>
      <c r="N27" s="1">
        <v>4</v>
      </c>
      <c r="O27" s="1">
        <v>3</v>
      </c>
      <c r="P27" s="1">
        <v>4</v>
      </c>
      <c r="Q27" s="1">
        <v>3</v>
      </c>
      <c r="R27" s="27">
        <f t="shared" si="0"/>
        <v>3.25</v>
      </c>
      <c r="S27" s="28" t="str">
        <f t="shared" si="1"/>
        <v>Regular</v>
      </c>
      <c r="T27" s="28">
        <f t="shared" si="2"/>
        <v>2</v>
      </c>
      <c r="U27" s="32">
        <f t="shared" si="3"/>
        <v>3.75</v>
      </c>
      <c r="V27" s="32" t="str">
        <f t="shared" si="4"/>
        <v>Buena</v>
      </c>
      <c r="W27" s="32">
        <f t="shared" si="5"/>
        <v>3</v>
      </c>
      <c r="X27" s="34">
        <f t="shared" si="6"/>
        <v>3.5</v>
      </c>
      <c r="Y27" s="34" t="str">
        <f t="shared" si="7"/>
        <v>Regular</v>
      </c>
      <c r="Z27" s="34">
        <f t="shared" si="8"/>
        <v>2</v>
      </c>
      <c r="AA27" s="36">
        <f t="shared" si="9"/>
        <v>3.5</v>
      </c>
      <c r="AB27" s="36" t="str">
        <f t="shared" si="10"/>
        <v>Regular</v>
      </c>
      <c r="AC27" s="36">
        <f t="shared" si="11"/>
        <v>2</v>
      </c>
      <c r="AD27" s="37">
        <f t="shared" si="12"/>
        <v>3.5</v>
      </c>
      <c r="AE27" s="38" t="str">
        <f t="shared" si="13"/>
        <v>Regular</v>
      </c>
      <c r="AF27" s="38">
        <f t="shared" si="14"/>
        <v>2</v>
      </c>
    </row>
    <row r="28" spans="1:40" x14ac:dyDescent="0.25">
      <c r="A28" t="s">
        <v>42</v>
      </c>
      <c r="B28" s="1">
        <v>3</v>
      </c>
      <c r="C28" s="1">
        <v>3</v>
      </c>
      <c r="D28" s="1">
        <v>2</v>
      </c>
      <c r="E28" s="1">
        <v>2</v>
      </c>
      <c r="F28" s="1">
        <v>2</v>
      </c>
      <c r="G28" s="1">
        <v>3</v>
      </c>
      <c r="H28" s="1">
        <v>3</v>
      </c>
      <c r="I28" s="1">
        <v>3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3</v>
      </c>
      <c r="P28" s="1">
        <v>3</v>
      </c>
      <c r="Q28" s="1">
        <v>2</v>
      </c>
      <c r="R28" s="27">
        <f t="shared" si="0"/>
        <v>2.5</v>
      </c>
      <c r="S28" s="28" t="str">
        <f t="shared" si="1"/>
        <v>Regular</v>
      </c>
      <c r="T28" s="28">
        <f t="shared" si="2"/>
        <v>2</v>
      </c>
      <c r="U28" s="32">
        <f t="shared" si="3"/>
        <v>2.75</v>
      </c>
      <c r="V28" s="32" t="str">
        <f t="shared" si="4"/>
        <v>Regular</v>
      </c>
      <c r="W28" s="32">
        <f t="shared" si="5"/>
        <v>2</v>
      </c>
      <c r="X28" s="34">
        <f t="shared" si="6"/>
        <v>2</v>
      </c>
      <c r="Y28" s="34" t="str">
        <f t="shared" si="7"/>
        <v>Mala</v>
      </c>
      <c r="Z28" s="34">
        <f t="shared" si="8"/>
        <v>1</v>
      </c>
      <c r="AA28" s="36">
        <f t="shared" si="9"/>
        <v>2.5</v>
      </c>
      <c r="AB28" s="36" t="str">
        <f t="shared" si="10"/>
        <v>Regular</v>
      </c>
      <c r="AC28" s="36">
        <f t="shared" si="11"/>
        <v>2</v>
      </c>
      <c r="AD28" s="37">
        <f t="shared" si="12"/>
        <v>2.4375</v>
      </c>
      <c r="AE28" s="38" t="str">
        <f t="shared" si="13"/>
        <v>Regular</v>
      </c>
      <c r="AF28" s="38">
        <f t="shared" si="14"/>
        <v>2</v>
      </c>
      <c r="AH28" t="s">
        <v>222</v>
      </c>
    </row>
    <row r="29" spans="1:40" x14ac:dyDescent="0.25">
      <c r="A29" t="s">
        <v>43</v>
      </c>
      <c r="B29" s="1">
        <v>4</v>
      </c>
      <c r="C29" s="1">
        <v>4</v>
      </c>
      <c r="D29" s="1">
        <v>4</v>
      </c>
      <c r="E29" s="1">
        <v>4</v>
      </c>
      <c r="F29" s="1">
        <v>3</v>
      </c>
      <c r="G29" s="1">
        <v>4</v>
      </c>
      <c r="H29" s="1">
        <v>3</v>
      </c>
      <c r="I29" s="1">
        <v>4</v>
      </c>
      <c r="J29" s="1">
        <v>3</v>
      </c>
      <c r="K29" s="1">
        <v>3</v>
      </c>
      <c r="L29" s="1">
        <v>2</v>
      </c>
      <c r="M29" s="1">
        <v>2</v>
      </c>
      <c r="N29" s="1">
        <v>2</v>
      </c>
      <c r="O29" s="1">
        <v>2</v>
      </c>
      <c r="P29" s="1">
        <v>3</v>
      </c>
      <c r="Q29" s="1">
        <v>4</v>
      </c>
      <c r="R29" s="27">
        <f t="shared" si="0"/>
        <v>4</v>
      </c>
      <c r="S29" s="28" t="str">
        <f t="shared" si="1"/>
        <v>Buena</v>
      </c>
      <c r="T29" s="28">
        <f t="shared" si="2"/>
        <v>3</v>
      </c>
      <c r="U29" s="32">
        <f t="shared" si="3"/>
        <v>3.5</v>
      </c>
      <c r="V29" s="32" t="str">
        <f t="shared" si="4"/>
        <v>Regular</v>
      </c>
      <c r="W29" s="32">
        <f t="shared" si="5"/>
        <v>2</v>
      </c>
      <c r="X29" s="34">
        <f t="shared" si="6"/>
        <v>2.5</v>
      </c>
      <c r="Y29" s="34" t="str">
        <f t="shared" si="7"/>
        <v>Regular</v>
      </c>
      <c r="Z29" s="34">
        <f t="shared" si="8"/>
        <v>2</v>
      </c>
      <c r="AA29" s="36">
        <f t="shared" si="9"/>
        <v>2.75</v>
      </c>
      <c r="AB29" s="36" t="str">
        <f t="shared" si="10"/>
        <v>Regular</v>
      </c>
      <c r="AC29" s="36">
        <f t="shared" si="11"/>
        <v>2</v>
      </c>
      <c r="AD29" s="37">
        <f t="shared" si="12"/>
        <v>3.1875</v>
      </c>
      <c r="AE29" s="38" t="str">
        <f t="shared" si="13"/>
        <v>Regular</v>
      </c>
      <c r="AF29" s="38">
        <f t="shared" si="14"/>
        <v>2</v>
      </c>
      <c r="AH29" t="s">
        <v>218</v>
      </c>
      <c r="AI29" s="7" t="s">
        <v>219</v>
      </c>
      <c r="AJ29" s="7" t="s">
        <v>204</v>
      </c>
      <c r="AK29" s="7" t="s">
        <v>205</v>
      </c>
      <c r="AL29" s="7" t="s">
        <v>206</v>
      </c>
      <c r="AM29" s="7" t="s">
        <v>210</v>
      </c>
      <c r="AN29" s="7" t="s">
        <v>207</v>
      </c>
    </row>
    <row r="30" spans="1:40" x14ac:dyDescent="0.25">
      <c r="A30" t="s">
        <v>44</v>
      </c>
      <c r="B30" s="1">
        <v>3</v>
      </c>
      <c r="C30" s="1">
        <v>2</v>
      </c>
      <c r="D30" s="1">
        <v>3</v>
      </c>
      <c r="E30" s="1">
        <v>3</v>
      </c>
      <c r="F30" s="1">
        <v>2</v>
      </c>
      <c r="G30" s="1">
        <v>2</v>
      </c>
      <c r="H30" s="1">
        <v>2</v>
      </c>
      <c r="I30" s="1">
        <v>3</v>
      </c>
      <c r="J30" s="1">
        <v>3</v>
      </c>
      <c r="K30" s="1">
        <v>2</v>
      </c>
      <c r="L30" s="1">
        <v>2</v>
      </c>
      <c r="M30" s="1">
        <v>2</v>
      </c>
      <c r="N30" s="1">
        <v>4</v>
      </c>
      <c r="O30" s="1">
        <v>2</v>
      </c>
      <c r="P30" s="1">
        <v>3</v>
      </c>
      <c r="Q30" s="1">
        <v>3</v>
      </c>
      <c r="R30" s="27">
        <f t="shared" si="0"/>
        <v>2.75</v>
      </c>
      <c r="S30" s="28" t="str">
        <f t="shared" si="1"/>
        <v>Regular</v>
      </c>
      <c r="T30" s="28">
        <f t="shared" si="2"/>
        <v>2</v>
      </c>
      <c r="U30" s="32">
        <f t="shared" si="3"/>
        <v>2.25</v>
      </c>
      <c r="V30" s="32" t="str">
        <f t="shared" si="4"/>
        <v>Mala</v>
      </c>
      <c r="W30" s="32">
        <f t="shared" si="5"/>
        <v>1</v>
      </c>
      <c r="X30" s="34">
        <f t="shared" si="6"/>
        <v>2.25</v>
      </c>
      <c r="Y30" s="34" t="str">
        <f t="shared" si="7"/>
        <v>Mala</v>
      </c>
      <c r="Z30" s="34">
        <f t="shared" si="8"/>
        <v>1</v>
      </c>
      <c r="AA30" s="36">
        <f t="shared" si="9"/>
        <v>3</v>
      </c>
      <c r="AB30" s="36" t="str">
        <f t="shared" si="10"/>
        <v>Regular</v>
      </c>
      <c r="AC30" s="36">
        <f t="shared" si="11"/>
        <v>2</v>
      </c>
      <c r="AD30" s="37">
        <f t="shared" si="12"/>
        <v>2.5625</v>
      </c>
      <c r="AE30" s="38" t="str">
        <f t="shared" si="13"/>
        <v>Regular</v>
      </c>
      <c r="AF30" s="38">
        <f t="shared" si="14"/>
        <v>2</v>
      </c>
      <c r="AH30" t="str">
        <f>N1</f>
        <v>PRG.13</v>
      </c>
      <c r="AI30" s="12">
        <f>N186</f>
        <v>2.8251366120218577</v>
      </c>
      <c r="AJ30" s="19">
        <f>N193</f>
        <v>0.11475409836065574</v>
      </c>
      <c r="AK30" s="19">
        <f>N194</f>
        <v>0.33333333333333331</v>
      </c>
      <c r="AL30" s="19">
        <f>N195</f>
        <v>0.26229508196721313</v>
      </c>
      <c r="AM30" s="19">
        <f>N196</f>
        <v>0.19125683060109289</v>
      </c>
      <c r="AN30" s="19">
        <f>N197</f>
        <v>9.8360655737704916E-2</v>
      </c>
    </row>
    <row r="31" spans="1:40" x14ac:dyDescent="0.25">
      <c r="A31" t="s">
        <v>45</v>
      </c>
      <c r="B31" s="1">
        <v>2</v>
      </c>
      <c r="C31" s="1">
        <v>2</v>
      </c>
      <c r="D31" s="1">
        <v>2</v>
      </c>
      <c r="E31" s="1">
        <v>1</v>
      </c>
      <c r="F31" s="1">
        <v>2</v>
      </c>
      <c r="G31" s="1">
        <v>2</v>
      </c>
      <c r="H31" s="1">
        <v>2</v>
      </c>
      <c r="I31" s="1">
        <v>1</v>
      </c>
      <c r="J31" s="1">
        <v>2</v>
      </c>
      <c r="K31" s="1">
        <v>2</v>
      </c>
      <c r="L31" s="1">
        <v>2</v>
      </c>
      <c r="M31" s="1">
        <v>1</v>
      </c>
      <c r="N31" s="1">
        <v>1</v>
      </c>
      <c r="O31" s="1">
        <v>2</v>
      </c>
      <c r="P31" s="1">
        <v>2</v>
      </c>
      <c r="Q31" s="1">
        <v>2</v>
      </c>
      <c r="R31" s="27">
        <f t="shared" si="0"/>
        <v>1.75</v>
      </c>
      <c r="S31" s="28" t="str">
        <f t="shared" si="1"/>
        <v>Mala</v>
      </c>
      <c r="T31" s="28">
        <f t="shared" si="2"/>
        <v>1</v>
      </c>
      <c r="U31" s="32">
        <f t="shared" si="3"/>
        <v>1.75</v>
      </c>
      <c r="V31" s="32" t="str">
        <f t="shared" si="4"/>
        <v>Mala</v>
      </c>
      <c r="W31" s="32">
        <f t="shared" si="5"/>
        <v>1</v>
      </c>
      <c r="X31" s="34">
        <f t="shared" si="6"/>
        <v>1.75</v>
      </c>
      <c r="Y31" s="34" t="str">
        <f t="shared" si="7"/>
        <v>Mala</v>
      </c>
      <c r="Z31" s="34">
        <f t="shared" si="8"/>
        <v>1</v>
      </c>
      <c r="AA31" s="36">
        <f t="shared" si="9"/>
        <v>1.75</v>
      </c>
      <c r="AB31" s="36" t="str">
        <f t="shared" si="10"/>
        <v>Mala</v>
      </c>
      <c r="AC31" s="36">
        <f t="shared" si="11"/>
        <v>1</v>
      </c>
      <c r="AD31" s="37">
        <f t="shared" si="12"/>
        <v>1.75</v>
      </c>
      <c r="AE31" s="38" t="str">
        <f t="shared" si="13"/>
        <v>Mala</v>
      </c>
      <c r="AF31" s="38">
        <f t="shared" si="14"/>
        <v>1</v>
      </c>
      <c r="AH31" t="str">
        <f>O1</f>
        <v>PRG.14</v>
      </c>
      <c r="AI31" s="12">
        <f>O186</f>
        <v>2.7759562841530054</v>
      </c>
      <c r="AJ31" s="19">
        <f>O193</f>
        <v>0.12021857923497267</v>
      </c>
      <c r="AK31" s="19">
        <f>O194</f>
        <v>0.33333333333333331</v>
      </c>
      <c r="AL31" s="19">
        <f>O195</f>
        <v>0.29508196721311475</v>
      </c>
      <c r="AM31" s="19">
        <f>O196</f>
        <v>0.15300546448087432</v>
      </c>
      <c r="AN31" s="19">
        <f>O197</f>
        <v>9.8360655737704916E-2</v>
      </c>
    </row>
    <row r="32" spans="1:40" x14ac:dyDescent="0.25">
      <c r="A32" t="s">
        <v>46</v>
      </c>
      <c r="B32" s="1">
        <v>2</v>
      </c>
      <c r="C32" s="1">
        <v>2</v>
      </c>
      <c r="D32" s="1">
        <v>2</v>
      </c>
      <c r="E32" s="1">
        <v>3</v>
      </c>
      <c r="F32" s="1">
        <v>2</v>
      </c>
      <c r="G32" s="1">
        <v>2</v>
      </c>
      <c r="H32" s="1">
        <v>3</v>
      </c>
      <c r="I32" s="1">
        <v>3</v>
      </c>
      <c r="J32" s="1">
        <v>2</v>
      </c>
      <c r="K32" s="1">
        <v>2</v>
      </c>
      <c r="L32" s="1">
        <v>3</v>
      </c>
      <c r="M32" s="1">
        <v>2</v>
      </c>
      <c r="N32" s="1">
        <v>2</v>
      </c>
      <c r="O32" s="1">
        <v>3</v>
      </c>
      <c r="P32" s="1">
        <v>3</v>
      </c>
      <c r="Q32" s="1">
        <v>2</v>
      </c>
      <c r="R32" s="27">
        <f t="shared" si="0"/>
        <v>2.25</v>
      </c>
      <c r="S32" s="28" t="str">
        <f t="shared" si="1"/>
        <v>Mala</v>
      </c>
      <c r="T32" s="28">
        <f t="shared" si="2"/>
        <v>1</v>
      </c>
      <c r="U32" s="32">
        <f t="shared" si="3"/>
        <v>2.5</v>
      </c>
      <c r="V32" s="32" t="str">
        <f t="shared" si="4"/>
        <v>Regular</v>
      </c>
      <c r="W32" s="32">
        <f t="shared" si="5"/>
        <v>2</v>
      </c>
      <c r="X32" s="34">
        <f t="shared" si="6"/>
        <v>2.25</v>
      </c>
      <c r="Y32" s="34" t="str">
        <f t="shared" si="7"/>
        <v>Mala</v>
      </c>
      <c r="Z32" s="34">
        <f t="shared" si="8"/>
        <v>1</v>
      </c>
      <c r="AA32" s="36">
        <f t="shared" si="9"/>
        <v>2.5</v>
      </c>
      <c r="AB32" s="36" t="str">
        <f t="shared" si="10"/>
        <v>Regular</v>
      </c>
      <c r="AC32" s="36">
        <f t="shared" si="11"/>
        <v>2</v>
      </c>
      <c r="AD32" s="37">
        <f t="shared" si="12"/>
        <v>2.375</v>
      </c>
      <c r="AE32" s="38" t="str">
        <f t="shared" si="13"/>
        <v>Regular</v>
      </c>
      <c r="AF32" s="38">
        <f t="shared" si="14"/>
        <v>2</v>
      </c>
      <c r="AH32" t="str">
        <f>P1</f>
        <v>PRG.15</v>
      </c>
      <c r="AI32" s="12">
        <f>P186</f>
        <v>2.8306010928961749</v>
      </c>
      <c r="AJ32" s="19">
        <f>P193</f>
        <v>0.15300546448087432</v>
      </c>
      <c r="AK32" s="19">
        <f>P194</f>
        <v>0.25683060109289618</v>
      </c>
      <c r="AL32" s="19">
        <f>P195</f>
        <v>0.32240437158469948</v>
      </c>
      <c r="AM32" s="19">
        <f>P196</f>
        <v>0.14207650273224043</v>
      </c>
      <c r="AN32" s="19">
        <f>P197</f>
        <v>0.12568306010928962</v>
      </c>
    </row>
    <row r="33" spans="1:40" x14ac:dyDescent="0.25">
      <c r="A33" t="s">
        <v>47</v>
      </c>
      <c r="B33" s="1">
        <v>2</v>
      </c>
      <c r="C33" s="1">
        <v>2</v>
      </c>
      <c r="D33" s="1">
        <v>2</v>
      </c>
      <c r="E33" s="1">
        <v>2</v>
      </c>
      <c r="F33" s="1">
        <v>2</v>
      </c>
      <c r="G33" s="1">
        <v>2</v>
      </c>
      <c r="H33" s="1">
        <v>2</v>
      </c>
      <c r="I33" s="1">
        <v>3</v>
      </c>
      <c r="J33" s="1">
        <v>2</v>
      </c>
      <c r="K33" s="1">
        <v>2</v>
      </c>
      <c r="L33" s="1">
        <v>2</v>
      </c>
      <c r="M33" s="1">
        <v>3</v>
      </c>
      <c r="N33" s="1">
        <v>2</v>
      </c>
      <c r="O33" s="1">
        <v>2</v>
      </c>
      <c r="P33" s="1">
        <v>1</v>
      </c>
      <c r="Q33" s="1">
        <v>2</v>
      </c>
      <c r="R33" s="27">
        <f t="shared" si="0"/>
        <v>2</v>
      </c>
      <c r="S33" s="28" t="str">
        <f t="shared" si="1"/>
        <v>Mala</v>
      </c>
      <c r="T33" s="28">
        <f t="shared" si="2"/>
        <v>1</v>
      </c>
      <c r="U33" s="32">
        <f t="shared" si="3"/>
        <v>2.25</v>
      </c>
      <c r="V33" s="32" t="str">
        <f t="shared" si="4"/>
        <v>Mala</v>
      </c>
      <c r="W33" s="32">
        <f t="shared" si="5"/>
        <v>1</v>
      </c>
      <c r="X33" s="34">
        <f t="shared" si="6"/>
        <v>2.25</v>
      </c>
      <c r="Y33" s="34" t="str">
        <f t="shared" si="7"/>
        <v>Mala</v>
      </c>
      <c r="Z33" s="34">
        <f t="shared" si="8"/>
        <v>1</v>
      </c>
      <c r="AA33" s="36">
        <f t="shared" si="9"/>
        <v>1.75</v>
      </c>
      <c r="AB33" s="36" t="str">
        <f t="shared" si="10"/>
        <v>Mala</v>
      </c>
      <c r="AC33" s="36">
        <f t="shared" si="11"/>
        <v>1</v>
      </c>
      <c r="AD33" s="37">
        <f t="shared" si="12"/>
        <v>2.0625</v>
      </c>
      <c r="AE33" s="38" t="str">
        <f t="shared" si="13"/>
        <v>Mala</v>
      </c>
      <c r="AF33" s="38">
        <f t="shared" si="14"/>
        <v>1</v>
      </c>
      <c r="AH33" t="str">
        <f>Q1</f>
        <v>PRG.16</v>
      </c>
      <c r="AI33" s="12">
        <f>Q186</f>
        <v>2.7759562841530054</v>
      </c>
      <c r="AJ33" s="19">
        <f>Q193</f>
        <v>0.13114754098360656</v>
      </c>
      <c r="AK33" s="19">
        <f>Q194</f>
        <v>0.31147540983606559</v>
      </c>
      <c r="AL33" s="19">
        <f>Q195</f>
        <v>0.30601092896174864</v>
      </c>
      <c r="AM33" s="19">
        <f>Q196</f>
        <v>0.15300546448087432</v>
      </c>
      <c r="AN33" s="19">
        <f>Q197</f>
        <v>9.8360655737704916E-2</v>
      </c>
    </row>
    <row r="34" spans="1:40" x14ac:dyDescent="0.25">
      <c r="A34" t="s">
        <v>48</v>
      </c>
      <c r="B34" s="1">
        <v>2</v>
      </c>
      <c r="C34" s="1">
        <v>3</v>
      </c>
      <c r="D34" s="1">
        <v>2</v>
      </c>
      <c r="E34" s="1">
        <v>2</v>
      </c>
      <c r="F34" s="1">
        <v>3</v>
      </c>
      <c r="G34" s="1">
        <v>2</v>
      </c>
      <c r="H34" s="1">
        <v>3</v>
      </c>
      <c r="I34" s="1">
        <v>2</v>
      </c>
      <c r="J34" s="1">
        <v>2</v>
      </c>
      <c r="K34" s="1">
        <v>3</v>
      </c>
      <c r="L34" s="1">
        <v>2</v>
      </c>
      <c r="M34" s="1">
        <v>3</v>
      </c>
      <c r="N34" s="1">
        <v>2</v>
      </c>
      <c r="O34" s="1">
        <v>3</v>
      </c>
      <c r="P34" s="1">
        <v>2</v>
      </c>
      <c r="Q34" s="1">
        <v>3</v>
      </c>
      <c r="R34" s="27">
        <f t="shared" si="0"/>
        <v>2.25</v>
      </c>
      <c r="S34" s="28" t="str">
        <f t="shared" si="1"/>
        <v>Mala</v>
      </c>
      <c r="T34" s="28">
        <f t="shared" si="2"/>
        <v>1</v>
      </c>
      <c r="U34" s="32">
        <f t="shared" si="3"/>
        <v>2.5</v>
      </c>
      <c r="V34" s="32" t="str">
        <f t="shared" si="4"/>
        <v>Regular</v>
      </c>
      <c r="W34" s="32">
        <f t="shared" si="5"/>
        <v>2</v>
      </c>
      <c r="X34" s="34">
        <f t="shared" si="6"/>
        <v>2.5</v>
      </c>
      <c r="Y34" s="34" t="str">
        <f t="shared" si="7"/>
        <v>Regular</v>
      </c>
      <c r="Z34" s="34">
        <f t="shared" si="8"/>
        <v>2</v>
      </c>
      <c r="AA34" s="36">
        <f t="shared" si="9"/>
        <v>2.5</v>
      </c>
      <c r="AB34" s="36" t="str">
        <f t="shared" si="10"/>
        <v>Regular</v>
      </c>
      <c r="AC34" s="36">
        <f t="shared" si="11"/>
        <v>2</v>
      </c>
      <c r="AD34" s="37">
        <f t="shared" si="12"/>
        <v>2.4375</v>
      </c>
      <c r="AE34" s="38" t="str">
        <f t="shared" si="13"/>
        <v>Regular</v>
      </c>
      <c r="AF34" s="38">
        <f t="shared" si="14"/>
        <v>2</v>
      </c>
      <c r="AH34" t="s">
        <v>208</v>
      </c>
      <c r="AI34" s="12">
        <f>AVERAGE(AI30:AI33)</f>
        <v>2.8019125683060113</v>
      </c>
      <c r="AJ34" s="12">
        <f t="shared" ref="AJ34:AN34" si="17">AVERAGE(AJ30:AJ33)</f>
        <v>0.12978142076502733</v>
      </c>
      <c r="AK34" s="12">
        <f t="shared" si="17"/>
        <v>0.30874316939890711</v>
      </c>
      <c r="AL34" s="12">
        <f t="shared" si="17"/>
        <v>0.29644808743169399</v>
      </c>
      <c r="AM34" s="12">
        <f t="shared" si="17"/>
        <v>0.1598360655737705</v>
      </c>
      <c r="AN34" s="12">
        <f t="shared" si="17"/>
        <v>0.1051912568306011</v>
      </c>
    </row>
    <row r="35" spans="1:40" x14ac:dyDescent="0.25">
      <c r="A35" t="s">
        <v>49</v>
      </c>
      <c r="B35" s="1">
        <v>3</v>
      </c>
      <c r="C35" s="1">
        <v>3</v>
      </c>
      <c r="D35" s="1">
        <v>3</v>
      </c>
      <c r="E35" s="1">
        <v>3</v>
      </c>
      <c r="F35" s="1">
        <v>3</v>
      </c>
      <c r="G35" s="1">
        <v>3</v>
      </c>
      <c r="H35" s="1">
        <v>3</v>
      </c>
      <c r="I35" s="1">
        <v>3</v>
      </c>
      <c r="J35" s="1">
        <v>3</v>
      </c>
      <c r="K35" s="1">
        <v>3</v>
      </c>
      <c r="L35" s="1">
        <v>3</v>
      </c>
      <c r="M35" s="1">
        <v>2</v>
      </c>
      <c r="N35" s="1">
        <v>2</v>
      </c>
      <c r="O35" s="1">
        <v>3</v>
      </c>
      <c r="P35" s="1">
        <v>2</v>
      </c>
      <c r="Q35" s="1">
        <v>2</v>
      </c>
      <c r="R35" s="27">
        <f t="shared" si="0"/>
        <v>3</v>
      </c>
      <c r="S35" s="28" t="str">
        <f t="shared" si="1"/>
        <v>Regular</v>
      </c>
      <c r="T35" s="28">
        <f t="shared" si="2"/>
        <v>2</v>
      </c>
      <c r="U35" s="32">
        <f t="shared" si="3"/>
        <v>3</v>
      </c>
      <c r="V35" s="32" t="str">
        <f t="shared" si="4"/>
        <v>Regular</v>
      </c>
      <c r="W35" s="32">
        <f t="shared" si="5"/>
        <v>2</v>
      </c>
      <c r="X35" s="34">
        <f t="shared" si="6"/>
        <v>2.75</v>
      </c>
      <c r="Y35" s="34" t="str">
        <f t="shared" si="7"/>
        <v>Regular</v>
      </c>
      <c r="Z35" s="34">
        <f t="shared" si="8"/>
        <v>2</v>
      </c>
      <c r="AA35" s="36">
        <f t="shared" si="9"/>
        <v>2.25</v>
      </c>
      <c r="AB35" s="36" t="str">
        <f t="shared" si="10"/>
        <v>Mala</v>
      </c>
      <c r="AC35" s="36">
        <f t="shared" si="11"/>
        <v>1</v>
      </c>
      <c r="AD35" s="37">
        <f t="shared" si="12"/>
        <v>2.75</v>
      </c>
      <c r="AE35" s="38" t="str">
        <f t="shared" si="13"/>
        <v>Regular</v>
      </c>
      <c r="AF35" s="38">
        <f t="shared" si="14"/>
        <v>2</v>
      </c>
    </row>
    <row r="36" spans="1:40" x14ac:dyDescent="0.25">
      <c r="A36" t="s">
        <v>50</v>
      </c>
      <c r="B36" s="1">
        <v>2</v>
      </c>
      <c r="C36" s="1">
        <v>1</v>
      </c>
      <c r="D36" s="1">
        <v>2</v>
      </c>
      <c r="E36" s="1">
        <v>2</v>
      </c>
      <c r="F36" s="1">
        <v>2</v>
      </c>
      <c r="G36" s="1">
        <v>2</v>
      </c>
      <c r="H36" s="1">
        <v>1</v>
      </c>
      <c r="I36" s="1">
        <v>1</v>
      </c>
      <c r="J36" s="1">
        <v>1</v>
      </c>
      <c r="K36" s="1">
        <v>2</v>
      </c>
      <c r="L36" s="1">
        <v>1</v>
      </c>
      <c r="M36" s="1">
        <v>2</v>
      </c>
      <c r="N36" s="1">
        <v>2</v>
      </c>
      <c r="O36" s="1">
        <v>1</v>
      </c>
      <c r="P36" s="1">
        <v>2</v>
      </c>
      <c r="Q36" s="1">
        <v>1</v>
      </c>
      <c r="R36" s="27">
        <f t="shared" si="0"/>
        <v>1.75</v>
      </c>
      <c r="S36" s="28" t="str">
        <f t="shared" si="1"/>
        <v>Mala</v>
      </c>
      <c r="T36" s="28">
        <f t="shared" si="2"/>
        <v>1</v>
      </c>
      <c r="U36" s="32">
        <f t="shared" si="3"/>
        <v>1.5</v>
      </c>
      <c r="V36" s="32" t="str">
        <f t="shared" si="4"/>
        <v>Mala</v>
      </c>
      <c r="W36" s="32">
        <f t="shared" si="5"/>
        <v>1</v>
      </c>
      <c r="X36" s="34">
        <f t="shared" si="6"/>
        <v>1.5</v>
      </c>
      <c r="Y36" s="34" t="str">
        <f t="shared" si="7"/>
        <v>Mala</v>
      </c>
      <c r="Z36" s="34">
        <f t="shared" si="8"/>
        <v>1</v>
      </c>
      <c r="AA36" s="36">
        <f t="shared" si="9"/>
        <v>1.5</v>
      </c>
      <c r="AB36" s="36" t="str">
        <f t="shared" si="10"/>
        <v>Mala</v>
      </c>
      <c r="AC36" s="36">
        <f t="shared" si="11"/>
        <v>1</v>
      </c>
      <c r="AD36" s="37">
        <f t="shared" si="12"/>
        <v>1.5625</v>
      </c>
      <c r="AE36" s="38" t="str">
        <f t="shared" si="13"/>
        <v>Mala</v>
      </c>
      <c r="AF36" s="38">
        <f t="shared" si="14"/>
        <v>1</v>
      </c>
    </row>
    <row r="37" spans="1:40" x14ac:dyDescent="0.25">
      <c r="A37" t="s">
        <v>51</v>
      </c>
      <c r="B37" s="1">
        <v>2</v>
      </c>
      <c r="C37" s="1">
        <v>3</v>
      </c>
      <c r="D37" s="1">
        <v>4</v>
      </c>
      <c r="E37" s="1">
        <v>3</v>
      </c>
      <c r="F37" s="1">
        <v>3</v>
      </c>
      <c r="G37" s="1">
        <v>3</v>
      </c>
      <c r="H37" s="1">
        <v>3</v>
      </c>
      <c r="I37" s="1">
        <v>4</v>
      </c>
      <c r="J37" s="1">
        <v>3</v>
      </c>
      <c r="K37" s="1">
        <v>3</v>
      </c>
      <c r="L37" s="1">
        <v>2</v>
      </c>
      <c r="M37" s="1">
        <v>4</v>
      </c>
      <c r="N37" s="1">
        <v>3</v>
      </c>
      <c r="O37" s="1">
        <v>4</v>
      </c>
      <c r="P37" s="1">
        <v>4</v>
      </c>
      <c r="Q37" s="1">
        <v>3</v>
      </c>
      <c r="R37" s="27">
        <f t="shared" si="0"/>
        <v>3</v>
      </c>
      <c r="S37" s="28" t="str">
        <f t="shared" si="1"/>
        <v>Regular</v>
      </c>
      <c r="T37" s="28">
        <f t="shared" si="2"/>
        <v>2</v>
      </c>
      <c r="U37" s="32">
        <f t="shared" si="3"/>
        <v>3.25</v>
      </c>
      <c r="V37" s="32" t="str">
        <f t="shared" si="4"/>
        <v>Regular</v>
      </c>
      <c r="W37" s="32">
        <f t="shared" si="5"/>
        <v>2</v>
      </c>
      <c r="X37" s="34">
        <f t="shared" si="6"/>
        <v>3</v>
      </c>
      <c r="Y37" s="34" t="str">
        <f t="shared" si="7"/>
        <v>Regular</v>
      </c>
      <c r="Z37" s="34">
        <f t="shared" si="8"/>
        <v>2</v>
      </c>
      <c r="AA37" s="36">
        <f t="shared" si="9"/>
        <v>3.5</v>
      </c>
      <c r="AB37" s="36" t="str">
        <f t="shared" si="10"/>
        <v>Regular</v>
      </c>
      <c r="AC37" s="36">
        <f t="shared" si="11"/>
        <v>2</v>
      </c>
      <c r="AD37" s="37">
        <f t="shared" si="12"/>
        <v>3.1875</v>
      </c>
      <c r="AE37" s="38" t="str">
        <f t="shared" si="13"/>
        <v>Regular</v>
      </c>
      <c r="AF37" s="38">
        <f t="shared" si="14"/>
        <v>2</v>
      </c>
    </row>
    <row r="38" spans="1:40" x14ac:dyDescent="0.25">
      <c r="A38" t="s">
        <v>52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2</v>
      </c>
      <c r="J38" s="1">
        <v>2</v>
      </c>
      <c r="K38" s="1">
        <v>1</v>
      </c>
      <c r="L38" s="1">
        <v>1</v>
      </c>
      <c r="M38" s="1">
        <v>1</v>
      </c>
      <c r="N38" s="1">
        <v>2</v>
      </c>
      <c r="O38" s="1">
        <v>1</v>
      </c>
      <c r="P38" s="1">
        <v>2</v>
      </c>
      <c r="Q38" s="1">
        <v>1</v>
      </c>
      <c r="R38" s="27">
        <f t="shared" si="0"/>
        <v>1</v>
      </c>
      <c r="S38" s="28" t="str">
        <f t="shared" si="1"/>
        <v>Mala</v>
      </c>
      <c r="T38" s="28">
        <f t="shared" si="2"/>
        <v>1</v>
      </c>
      <c r="U38" s="32">
        <f t="shared" si="3"/>
        <v>1.25</v>
      </c>
      <c r="V38" s="32" t="str">
        <f t="shared" si="4"/>
        <v>Mala</v>
      </c>
      <c r="W38" s="32">
        <f t="shared" si="5"/>
        <v>1</v>
      </c>
      <c r="X38" s="34">
        <f t="shared" si="6"/>
        <v>1.25</v>
      </c>
      <c r="Y38" s="34" t="str">
        <f t="shared" si="7"/>
        <v>Mala</v>
      </c>
      <c r="Z38" s="34">
        <f t="shared" si="8"/>
        <v>1</v>
      </c>
      <c r="AA38" s="36">
        <f t="shared" si="9"/>
        <v>1.5</v>
      </c>
      <c r="AB38" s="36" t="str">
        <f t="shared" si="10"/>
        <v>Mala</v>
      </c>
      <c r="AC38" s="36">
        <f t="shared" si="11"/>
        <v>1</v>
      </c>
      <c r="AD38" s="37">
        <f t="shared" si="12"/>
        <v>1.25</v>
      </c>
      <c r="AE38" s="38" t="str">
        <f t="shared" si="13"/>
        <v>Mala</v>
      </c>
      <c r="AF38" s="38">
        <f t="shared" si="14"/>
        <v>1</v>
      </c>
    </row>
    <row r="39" spans="1:40" x14ac:dyDescent="0.25">
      <c r="A39" t="s">
        <v>53</v>
      </c>
      <c r="B39" s="1">
        <v>4</v>
      </c>
      <c r="C39" s="1">
        <v>5</v>
      </c>
      <c r="D39" s="1">
        <v>3</v>
      </c>
      <c r="E39" s="1">
        <v>3</v>
      </c>
      <c r="F39" s="1">
        <v>4</v>
      </c>
      <c r="G39" s="1">
        <v>5</v>
      </c>
      <c r="H39" s="1">
        <v>5</v>
      </c>
      <c r="I39" s="1">
        <v>5</v>
      </c>
      <c r="J39" s="1">
        <v>5</v>
      </c>
      <c r="K39" s="1">
        <v>5</v>
      </c>
      <c r="L39" s="1">
        <v>5</v>
      </c>
      <c r="M39" s="1">
        <v>3</v>
      </c>
      <c r="N39" s="1">
        <v>4</v>
      </c>
      <c r="O39" s="1">
        <v>4</v>
      </c>
      <c r="P39" s="1">
        <v>5</v>
      </c>
      <c r="Q39" s="1">
        <v>4</v>
      </c>
      <c r="R39" s="27">
        <f t="shared" si="0"/>
        <v>3.75</v>
      </c>
      <c r="S39" s="28" t="str">
        <f t="shared" si="1"/>
        <v>Buena</v>
      </c>
      <c r="T39" s="28">
        <f t="shared" si="2"/>
        <v>3</v>
      </c>
      <c r="U39" s="32">
        <f t="shared" si="3"/>
        <v>4.75</v>
      </c>
      <c r="V39" s="32" t="str">
        <f t="shared" si="4"/>
        <v>Buena</v>
      </c>
      <c r="W39" s="32">
        <f t="shared" si="5"/>
        <v>3</v>
      </c>
      <c r="X39" s="34">
        <f t="shared" si="6"/>
        <v>4.5</v>
      </c>
      <c r="Y39" s="34" t="str">
        <f t="shared" si="7"/>
        <v>Buena</v>
      </c>
      <c r="Z39" s="34">
        <f t="shared" si="8"/>
        <v>3</v>
      </c>
      <c r="AA39" s="36">
        <f t="shared" si="9"/>
        <v>4.25</v>
      </c>
      <c r="AB39" s="36" t="str">
        <f t="shared" si="10"/>
        <v>Buena</v>
      </c>
      <c r="AC39" s="36">
        <f t="shared" si="11"/>
        <v>3</v>
      </c>
      <c r="AD39" s="37">
        <f t="shared" si="12"/>
        <v>4.3125</v>
      </c>
      <c r="AE39" s="38" t="str">
        <f t="shared" si="13"/>
        <v>Buena</v>
      </c>
      <c r="AF39" s="38">
        <f t="shared" si="14"/>
        <v>3</v>
      </c>
    </row>
    <row r="40" spans="1:40" x14ac:dyDescent="0.25">
      <c r="A40" t="s">
        <v>54</v>
      </c>
      <c r="B40" s="1">
        <v>4</v>
      </c>
      <c r="C40" s="1">
        <v>3</v>
      </c>
      <c r="D40" s="1">
        <v>3</v>
      </c>
      <c r="E40" s="1">
        <v>3</v>
      </c>
      <c r="F40" s="1">
        <v>5</v>
      </c>
      <c r="G40" s="1">
        <v>4</v>
      </c>
      <c r="H40" s="1">
        <v>4</v>
      </c>
      <c r="I40" s="1">
        <v>3</v>
      </c>
      <c r="J40" s="1">
        <v>3</v>
      </c>
      <c r="K40" s="1">
        <v>4</v>
      </c>
      <c r="L40" s="1">
        <v>4</v>
      </c>
      <c r="M40" s="1">
        <v>3</v>
      </c>
      <c r="N40" s="1">
        <v>4</v>
      </c>
      <c r="O40" s="1">
        <v>4</v>
      </c>
      <c r="P40" s="1">
        <v>3</v>
      </c>
      <c r="Q40" s="1">
        <v>3</v>
      </c>
      <c r="R40" s="27">
        <f t="shared" si="0"/>
        <v>3.25</v>
      </c>
      <c r="S40" s="28" t="str">
        <f t="shared" si="1"/>
        <v>Regular</v>
      </c>
      <c r="T40" s="28">
        <f t="shared" si="2"/>
        <v>2</v>
      </c>
      <c r="U40" s="32">
        <f t="shared" si="3"/>
        <v>4</v>
      </c>
      <c r="V40" s="32" t="str">
        <f t="shared" si="4"/>
        <v>Buena</v>
      </c>
      <c r="W40" s="32">
        <f t="shared" si="5"/>
        <v>3</v>
      </c>
      <c r="X40" s="34">
        <f t="shared" si="6"/>
        <v>3.5</v>
      </c>
      <c r="Y40" s="34" t="str">
        <f t="shared" si="7"/>
        <v>Regular</v>
      </c>
      <c r="Z40" s="34">
        <f t="shared" si="8"/>
        <v>2</v>
      </c>
      <c r="AA40" s="36">
        <f t="shared" si="9"/>
        <v>3.5</v>
      </c>
      <c r="AB40" s="36" t="str">
        <f t="shared" si="10"/>
        <v>Regular</v>
      </c>
      <c r="AC40" s="36">
        <f t="shared" si="11"/>
        <v>2</v>
      </c>
      <c r="AD40" s="37">
        <f t="shared" si="12"/>
        <v>3.5625</v>
      </c>
      <c r="AE40" s="38" t="str">
        <f t="shared" si="13"/>
        <v>Regular</v>
      </c>
      <c r="AF40" s="38">
        <f t="shared" si="14"/>
        <v>2</v>
      </c>
    </row>
    <row r="41" spans="1:40" x14ac:dyDescent="0.25">
      <c r="A41" t="s">
        <v>55</v>
      </c>
      <c r="B41" s="1">
        <v>3</v>
      </c>
      <c r="C41" s="1">
        <v>5</v>
      </c>
      <c r="D41" s="1">
        <v>5</v>
      </c>
      <c r="E41" s="1">
        <v>4</v>
      </c>
      <c r="F41" s="1">
        <v>4</v>
      </c>
      <c r="G41" s="1">
        <v>5</v>
      </c>
      <c r="H41" s="1">
        <v>3</v>
      </c>
      <c r="I41" s="1">
        <v>4</v>
      </c>
      <c r="J41" s="1">
        <v>4</v>
      </c>
      <c r="K41" s="1">
        <v>3</v>
      </c>
      <c r="L41" s="1">
        <v>4</v>
      </c>
      <c r="M41" s="1">
        <v>5</v>
      </c>
      <c r="N41" s="1">
        <v>3</v>
      </c>
      <c r="O41" s="1">
        <v>5</v>
      </c>
      <c r="P41" s="1">
        <v>5</v>
      </c>
      <c r="Q41" s="1">
        <v>5</v>
      </c>
      <c r="R41" s="27">
        <f t="shared" si="0"/>
        <v>4.25</v>
      </c>
      <c r="S41" s="28" t="str">
        <f t="shared" si="1"/>
        <v>Buena</v>
      </c>
      <c r="T41" s="28">
        <f t="shared" si="2"/>
        <v>3</v>
      </c>
      <c r="U41" s="32">
        <f t="shared" si="3"/>
        <v>4</v>
      </c>
      <c r="V41" s="32" t="str">
        <f t="shared" si="4"/>
        <v>Buena</v>
      </c>
      <c r="W41" s="32">
        <f t="shared" si="5"/>
        <v>3</v>
      </c>
      <c r="X41" s="34">
        <f t="shared" si="6"/>
        <v>4</v>
      </c>
      <c r="Y41" s="34" t="str">
        <f t="shared" si="7"/>
        <v>Buena</v>
      </c>
      <c r="Z41" s="34">
        <f t="shared" si="8"/>
        <v>3</v>
      </c>
      <c r="AA41" s="36">
        <f t="shared" si="9"/>
        <v>4.5</v>
      </c>
      <c r="AB41" s="36" t="str">
        <f t="shared" si="10"/>
        <v>Buena</v>
      </c>
      <c r="AC41" s="36">
        <f t="shared" si="11"/>
        <v>3</v>
      </c>
      <c r="AD41" s="37">
        <f t="shared" si="12"/>
        <v>4.1875</v>
      </c>
      <c r="AE41" s="38" t="str">
        <f t="shared" si="13"/>
        <v>Buena</v>
      </c>
      <c r="AF41" s="38">
        <f t="shared" si="14"/>
        <v>3</v>
      </c>
    </row>
    <row r="42" spans="1:40" x14ac:dyDescent="0.25">
      <c r="A42" t="s">
        <v>56</v>
      </c>
      <c r="B42" s="1">
        <v>3</v>
      </c>
      <c r="C42" s="1">
        <v>2</v>
      </c>
      <c r="D42" s="1">
        <v>2</v>
      </c>
      <c r="E42" s="1">
        <v>4</v>
      </c>
      <c r="F42" s="1">
        <v>4</v>
      </c>
      <c r="G42" s="1">
        <v>3</v>
      </c>
      <c r="H42" s="1">
        <v>2</v>
      </c>
      <c r="I42" s="1">
        <v>2</v>
      </c>
      <c r="J42" s="1">
        <v>3</v>
      </c>
      <c r="K42" s="1">
        <v>3</v>
      </c>
      <c r="L42" s="1">
        <v>3</v>
      </c>
      <c r="M42" s="1">
        <v>3</v>
      </c>
      <c r="N42" s="1">
        <v>3</v>
      </c>
      <c r="O42" s="1">
        <v>3</v>
      </c>
      <c r="P42" s="1">
        <v>4</v>
      </c>
      <c r="Q42" s="1">
        <v>4</v>
      </c>
      <c r="R42" s="27">
        <f t="shared" si="0"/>
        <v>2.75</v>
      </c>
      <c r="S42" s="28" t="str">
        <f t="shared" si="1"/>
        <v>Regular</v>
      </c>
      <c r="T42" s="28">
        <f t="shared" si="2"/>
        <v>2</v>
      </c>
      <c r="U42" s="32">
        <f t="shared" si="3"/>
        <v>2.75</v>
      </c>
      <c r="V42" s="32" t="str">
        <f t="shared" si="4"/>
        <v>Regular</v>
      </c>
      <c r="W42" s="32">
        <f t="shared" si="5"/>
        <v>2</v>
      </c>
      <c r="X42" s="34">
        <f t="shared" si="6"/>
        <v>3</v>
      </c>
      <c r="Y42" s="34" t="str">
        <f t="shared" si="7"/>
        <v>Regular</v>
      </c>
      <c r="Z42" s="34">
        <f t="shared" si="8"/>
        <v>2</v>
      </c>
      <c r="AA42" s="36">
        <f t="shared" si="9"/>
        <v>3.5</v>
      </c>
      <c r="AB42" s="36" t="str">
        <f t="shared" si="10"/>
        <v>Regular</v>
      </c>
      <c r="AC42" s="36">
        <f t="shared" si="11"/>
        <v>2</v>
      </c>
      <c r="AD42" s="37">
        <f t="shared" si="12"/>
        <v>3</v>
      </c>
      <c r="AE42" s="38" t="str">
        <f t="shared" si="13"/>
        <v>Regular</v>
      </c>
      <c r="AF42" s="38">
        <f t="shared" si="14"/>
        <v>2</v>
      </c>
    </row>
    <row r="43" spans="1:40" x14ac:dyDescent="0.25">
      <c r="A43" t="s">
        <v>57</v>
      </c>
      <c r="B43" s="1">
        <v>3</v>
      </c>
      <c r="C43" s="1">
        <v>4</v>
      </c>
      <c r="D43" s="1">
        <v>3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  <c r="J43" s="1">
        <v>3</v>
      </c>
      <c r="K43" s="1">
        <v>3</v>
      </c>
      <c r="L43" s="1">
        <v>3</v>
      </c>
      <c r="M43" s="1">
        <v>3</v>
      </c>
      <c r="N43" s="1">
        <v>3</v>
      </c>
      <c r="O43" s="1">
        <v>3</v>
      </c>
      <c r="P43" s="1">
        <v>3</v>
      </c>
      <c r="Q43" s="1">
        <v>3</v>
      </c>
      <c r="R43" s="27">
        <f t="shared" si="0"/>
        <v>3.25</v>
      </c>
      <c r="S43" s="28" t="str">
        <f t="shared" si="1"/>
        <v>Regular</v>
      </c>
      <c r="T43" s="28">
        <f t="shared" si="2"/>
        <v>2</v>
      </c>
      <c r="U43" s="32">
        <f t="shared" si="3"/>
        <v>3</v>
      </c>
      <c r="V43" s="32" t="str">
        <f t="shared" si="4"/>
        <v>Regular</v>
      </c>
      <c r="W43" s="32">
        <f t="shared" si="5"/>
        <v>2</v>
      </c>
      <c r="X43" s="34">
        <f t="shared" si="6"/>
        <v>3</v>
      </c>
      <c r="Y43" s="34" t="str">
        <f t="shared" si="7"/>
        <v>Regular</v>
      </c>
      <c r="Z43" s="34">
        <f t="shared" si="8"/>
        <v>2</v>
      </c>
      <c r="AA43" s="36">
        <f t="shared" si="9"/>
        <v>3</v>
      </c>
      <c r="AB43" s="36" t="str">
        <f t="shared" si="10"/>
        <v>Regular</v>
      </c>
      <c r="AC43" s="36">
        <f t="shared" si="11"/>
        <v>2</v>
      </c>
      <c r="AD43" s="37">
        <f t="shared" si="12"/>
        <v>3.0625</v>
      </c>
      <c r="AE43" s="38" t="str">
        <f t="shared" si="13"/>
        <v>Regular</v>
      </c>
      <c r="AF43" s="38">
        <f t="shared" si="14"/>
        <v>2</v>
      </c>
    </row>
    <row r="44" spans="1:40" x14ac:dyDescent="0.25">
      <c r="A44" t="s">
        <v>58</v>
      </c>
      <c r="B44" s="1">
        <v>3</v>
      </c>
      <c r="C44" s="1">
        <v>3</v>
      </c>
      <c r="D44" s="1">
        <v>3</v>
      </c>
      <c r="E44" s="1">
        <v>3</v>
      </c>
      <c r="F44" s="1">
        <v>2</v>
      </c>
      <c r="G44" s="1">
        <v>3</v>
      </c>
      <c r="H44" s="1">
        <v>3</v>
      </c>
      <c r="I44" s="1">
        <v>3</v>
      </c>
      <c r="J44" s="1">
        <v>2</v>
      </c>
      <c r="K44" s="1">
        <v>3</v>
      </c>
      <c r="L44" s="1">
        <v>3</v>
      </c>
      <c r="M44" s="1">
        <v>2</v>
      </c>
      <c r="N44" s="1">
        <v>3</v>
      </c>
      <c r="O44" s="1">
        <v>2</v>
      </c>
      <c r="P44" s="1">
        <v>2</v>
      </c>
      <c r="Q44" s="1">
        <v>3</v>
      </c>
      <c r="R44" s="27">
        <f t="shared" si="0"/>
        <v>3</v>
      </c>
      <c r="S44" s="28" t="str">
        <f t="shared" si="1"/>
        <v>Regular</v>
      </c>
      <c r="T44" s="28">
        <f t="shared" si="2"/>
        <v>2</v>
      </c>
      <c r="U44" s="32">
        <f t="shared" si="3"/>
        <v>2.75</v>
      </c>
      <c r="V44" s="32" t="str">
        <f t="shared" si="4"/>
        <v>Regular</v>
      </c>
      <c r="W44" s="32">
        <f t="shared" si="5"/>
        <v>2</v>
      </c>
      <c r="X44" s="34">
        <f t="shared" si="6"/>
        <v>2.5</v>
      </c>
      <c r="Y44" s="34" t="str">
        <f t="shared" si="7"/>
        <v>Regular</v>
      </c>
      <c r="Z44" s="34">
        <f t="shared" si="8"/>
        <v>2</v>
      </c>
      <c r="AA44" s="36">
        <f t="shared" si="9"/>
        <v>2.5</v>
      </c>
      <c r="AB44" s="36" t="str">
        <f t="shared" si="10"/>
        <v>Regular</v>
      </c>
      <c r="AC44" s="36">
        <f t="shared" si="11"/>
        <v>2</v>
      </c>
      <c r="AD44" s="37">
        <f t="shared" si="12"/>
        <v>2.6875</v>
      </c>
      <c r="AE44" s="38" t="str">
        <f t="shared" si="13"/>
        <v>Regular</v>
      </c>
      <c r="AF44" s="38">
        <f t="shared" si="14"/>
        <v>2</v>
      </c>
    </row>
    <row r="45" spans="1:40" x14ac:dyDescent="0.25">
      <c r="A45" t="s">
        <v>59</v>
      </c>
      <c r="B45" s="1">
        <v>5</v>
      </c>
      <c r="C45" s="1">
        <v>5</v>
      </c>
      <c r="D45" s="1">
        <v>5</v>
      </c>
      <c r="E45" s="1">
        <v>4</v>
      </c>
      <c r="F45" s="1">
        <v>4</v>
      </c>
      <c r="G45" s="1">
        <v>4</v>
      </c>
      <c r="H45" s="1">
        <v>5</v>
      </c>
      <c r="I45" s="1">
        <v>5</v>
      </c>
      <c r="J45" s="1">
        <v>5</v>
      </c>
      <c r="K45" s="1">
        <v>4</v>
      </c>
      <c r="L45" s="1">
        <v>5</v>
      </c>
      <c r="M45" s="1">
        <v>5</v>
      </c>
      <c r="N45" s="1">
        <v>4</v>
      </c>
      <c r="O45" s="1">
        <v>5</v>
      </c>
      <c r="P45" s="1">
        <v>5</v>
      </c>
      <c r="Q45" s="1">
        <v>5</v>
      </c>
      <c r="R45" s="27">
        <f t="shared" si="0"/>
        <v>4.75</v>
      </c>
      <c r="S45" s="28" t="str">
        <f t="shared" si="1"/>
        <v>Buena</v>
      </c>
      <c r="T45" s="28">
        <f t="shared" si="2"/>
        <v>3</v>
      </c>
      <c r="U45" s="32">
        <f t="shared" si="3"/>
        <v>4.5</v>
      </c>
      <c r="V45" s="32" t="str">
        <f t="shared" si="4"/>
        <v>Buena</v>
      </c>
      <c r="W45" s="32">
        <f t="shared" si="5"/>
        <v>3</v>
      </c>
      <c r="X45" s="34">
        <f t="shared" si="6"/>
        <v>4.75</v>
      </c>
      <c r="Y45" s="34" t="str">
        <f t="shared" si="7"/>
        <v>Buena</v>
      </c>
      <c r="Z45" s="34">
        <f t="shared" si="8"/>
        <v>3</v>
      </c>
      <c r="AA45" s="36">
        <f t="shared" si="9"/>
        <v>4.75</v>
      </c>
      <c r="AB45" s="36" t="str">
        <f t="shared" si="10"/>
        <v>Buena</v>
      </c>
      <c r="AC45" s="36">
        <f t="shared" si="11"/>
        <v>3</v>
      </c>
      <c r="AD45" s="37">
        <f t="shared" si="12"/>
        <v>4.6875</v>
      </c>
      <c r="AE45" s="38" t="str">
        <f t="shared" si="13"/>
        <v>Buena</v>
      </c>
      <c r="AF45" s="38">
        <f t="shared" si="14"/>
        <v>3</v>
      </c>
    </row>
    <row r="46" spans="1:40" x14ac:dyDescent="0.25">
      <c r="A46" t="s">
        <v>60</v>
      </c>
      <c r="B46" s="1">
        <v>2</v>
      </c>
      <c r="C46" s="1">
        <v>2</v>
      </c>
      <c r="D46" s="1">
        <v>4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  <c r="J46" s="1">
        <v>3</v>
      </c>
      <c r="K46" s="1">
        <v>2</v>
      </c>
      <c r="L46" s="1">
        <v>3</v>
      </c>
      <c r="M46" s="1">
        <v>3</v>
      </c>
      <c r="N46" s="1">
        <v>4</v>
      </c>
      <c r="O46" s="1">
        <v>2</v>
      </c>
      <c r="P46" s="1">
        <v>2</v>
      </c>
      <c r="Q46" s="1">
        <v>2</v>
      </c>
      <c r="R46" s="27">
        <f t="shared" si="0"/>
        <v>2.75</v>
      </c>
      <c r="S46" s="28" t="str">
        <f t="shared" si="1"/>
        <v>Regular</v>
      </c>
      <c r="T46" s="28">
        <f t="shared" si="2"/>
        <v>2</v>
      </c>
      <c r="U46" s="32">
        <f t="shared" si="3"/>
        <v>3</v>
      </c>
      <c r="V46" s="32" t="str">
        <f t="shared" si="4"/>
        <v>Regular</v>
      </c>
      <c r="W46" s="32">
        <f t="shared" si="5"/>
        <v>2</v>
      </c>
      <c r="X46" s="34">
        <f t="shared" si="6"/>
        <v>2.75</v>
      </c>
      <c r="Y46" s="34" t="str">
        <f t="shared" si="7"/>
        <v>Regular</v>
      </c>
      <c r="Z46" s="34">
        <f t="shared" si="8"/>
        <v>2</v>
      </c>
      <c r="AA46" s="36">
        <f t="shared" si="9"/>
        <v>2.5</v>
      </c>
      <c r="AB46" s="36" t="str">
        <f t="shared" si="10"/>
        <v>Regular</v>
      </c>
      <c r="AC46" s="36">
        <f t="shared" si="11"/>
        <v>2</v>
      </c>
      <c r="AD46" s="37">
        <f t="shared" si="12"/>
        <v>2.75</v>
      </c>
      <c r="AE46" s="38" t="str">
        <f t="shared" si="13"/>
        <v>Regular</v>
      </c>
      <c r="AF46" s="38">
        <f t="shared" si="14"/>
        <v>2</v>
      </c>
    </row>
    <row r="47" spans="1:40" x14ac:dyDescent="0.25">
      <c r="A47" t="s">
        <v>61</v>
      </c>
      <c r="B47" s="1">
        <v>4</v>
      </c>
      <c r="C47" s="1">
        <v>5</v>
      </c>
      <c r="D47" s="1">
        <v>3</v>
      </c>
      <c r="E47" s="1">
        <v>3</v>
      </c>
      <c r="F47" s="1">
        <v>5</v>
      </c>
      <c r="G47" s="1">
        <v>5</v>
      </c>
      <c r="H47" s="1">
        <v>5</v>
      </c>
      <c r="I47" s="1">
        <v>5</v>
      </c>
      <c r="J47" s="1">
        <v>4</v>
      </c>
      <c r="K47" s="1">
        <v>5</v>
      </c>
      <c r="L47" s="1">
        <v>5</v>
      </c>
      <c r="M47" s="1">
        <v>4</v>
      </c>
      <c r="N47" s="1">
        <v>4</v>
      </c>
      <c r="O47" s="1">
        <v>3</v>
      </c>
      <c r="P47" s="1">
        <v>4</v>
      </c>
      <c r="Q47" s="1">
        <v>4</v>
      </c>
      <c r="R47" s="27">
        <f t="shared" si="0"/>
        <v>3.75</v>
      </c>
      <c r="S47" s="28" t="str">
        <f t="shared" si="1"/>
        <v>Buena</v>
      </c>
      <c r="T47" s="28">
        <f t="shared" si="2"/>
        <v>3</v>
      </c>
      <c r="U47" s="32">
        <f t="shared" si="3"/>
        <v>5</v>
      </c>
      <c r="V47" s="32" t="str">
        <f t="shared" si="4"/>
        <v>Buena</v>
      </c>
      <c r="W47" s="32">
        <f t="shared" si="5"/>
        <v>3</v>
      </c>
      <c r="X47" s="34">
        <f t="shared" si="6"/>
        <v>4.5</v>
      </c>
      <c r="Y47" s="34" t="str">
        <f t="shared" si="7"/>
        <v>Buena</v>
      </c>
      <c r="Z47" s="34">
        <f t="shared" si="8"/>
        <v>3</v>
      </c>
      <c r="AA47" s="36">
        <f t="shared" si="9"/>
        <v>3.75</v>
      </c>
      <c r="AB47" s="36" t="str">
        <f t="shared" si="10"/>
        <v>Buena</v>
      </c>
      <c r="AC47" s="36">
        <f t="shared" si="11"/>
        <v>3</v>
      </c>
      <c r="AD47" s="37">
        <f t="shared" si="12"/>
        <v>4.25</v>
      </c>
      <c r="AE47" s="38" t="str">
        <f t="shared" si="13"/>
        <v>Buena</v>
      </c>
      <c r="AF47" s="38">
        <f t="shared" si="14"/>
        <v>3</v>
      </c>
    </row>
    <row r="48" spans="1:40" x14ac:dyDescent="0.25">
      <c r="A48" t="s">
        <v>62</v>
      </c>
      <c r="B48" s="1">
        <v>2</v>
      </c>
      <c r="C48" s="1">
        <v>2</v>
      </c>
      <c r="D48" s="1">
        <v>2</v>
      </c>
      <c r="E48" s="1">
        <v>4</v>
      </c>
      <c r="F48" s="1">
        <v>4</v>
      </c>
      <c r="G48" s="1">
        <v>3</v>
      </c>
      <c r="H48" s="1">
        <v>3</v>
      </c>
      <c r="I48" s="1">
        <v>4</v>
      </c>
      <c r="J48" s="1">
        <v>4</v>
      </c>
      <c r="K48" s="1">
        <v>2</v>
      </c>
      <c r="L48" s="1">
        <v>3</v>
      </c>
      <c r="M48" s="1">
        <v>2</v>
      </c>
      <c r="N48" s="1">
        <v>3</v>
      </c>
      <c r="O48" s="1">
        <v>4</v>
      </c>
      <c r="P48" s="1">
        <v>4</v>
      </c>
      <c r="Q48" s="1">
        <v>3</v>
      </c>
      <c r="R48" s="27">
        <f t="shared" si="0"/>
        <v>2.5</v>
      </c>
      <c r="S48" s="28" t="str">
        <f t="shared" si="1"/>
        <v>Regular</v>
      </c>
      <c r="T48" s="28">
        <f t="shared" si="2"/>
        <v>2</v>
      </c>
      <c r="U48" s="32">
        <f t="shared" si="3"/>
        <v>3.5</v>
      </c>
      <c r="V48" s="32" t="str">
        <f t="shared" si="4"/>
        <v>Regular</v>
      </c>
      <c r="W48" s="32">
        <f t="shared" si="5"/>
        <v>2</v>
      </c>
      <c r="X48" s="34">
        <f t="shared" si="6"/>
        <v>2.75</v>
      </c>
      <c r="Y48" s="34" t="str">
        <f t="shared" si="7"/>
        <v>Regular</v>
      </c>
      <c r="Z48" s="34">
        <f t="shared" si="8"/>
        <v>2</v>
      </c>
      <c r="AA48" s="36">
        <f t="shared" si="9"/>
        <v>3.5</v>
      </c>
      <c r="AB48" s="36" t="str">
        <f t="shared" si="10"/>
        <v>Regular</v>
      </c>
      <c r="AC48" s="36">
        <f t="shared" si="11"/>
        <v>2</v>
      </c>
      <c r="AD48" s="37">
        <f t="shared" si="12"/>
        <v>3.0625</v>
      </c>
      <c r="AE48" s="38" t="str">
        <f t="shared" si="13"/>
        <v>Regular</v>
      </c>
      <c r="AF48" s="38">
        <f t="shared" si="14"/>
        <v>2</v>
      </c>
    </row>
    <row r="49" spans="1:32" x14ac:dyDescent="0.25">
      <c r="A49" t="s">
        <v>63</v>
      </c>
      <c r="B49" s="1">
        <v>2</v>
      </c>
      <c r="C49" s="1">
        <v>2</v>
      </c>
      <c r="D49" s="1">
        <v>2</v>
      </c>
      <c r="E49" s="1">
        <v>3</v>
      </c>
      <c r="F49" s="1">
        <v>2</v>
      </c>
      <c r="G49" s="1">
        <v>3</v>
      </c>
      <c r="H49" s="1">
        <v>3</v>
      </c>
      <c r="I49" s="1">
        <v>2</v>
      </c>
      <c r="J49" s="1">
        <v>2</v>
      </c>
      <c r="K49" s="1">
        <v>2</v>
      </c>
      <c r="L49" s="1">
        <v>2</v>
      </c>
      <c r="M49" s="1">
        <v>2</v>
      </c>
      <c r="N49" s="1">
        <v>3</v>
      </c>
      <c r="O49" s="1">
        <v>3</v>
      </c>
      <c r="P49" s="1">
        <v>3</v>
      </c>
      <c r="Q49" s="1">
        <v>2</v>
      </c>
      <c r="R49" s="27">
        <f t="shared" si="0"/>
        <v>2.25</v>
      </c>
      <c r="S49" s="28" t="str">
        <f t="shared" si="1"/>
        <v>Mala</v>
      </c>
      <c r="T49" s="28">
        <f t="shared" si="2"/>
        <v>1</v>
      </c>
      <c r="U49" s="32">
        <f t="shared" si="3"/>
        <v>2.5</v>
      </c>
      <c r="V49" s="32" t="str">
        <f t="shared" si="4"/>
        <v>Regular</v>
      </c>
      <c r="W49" s="32">
        <f t="shared" si="5"/>
        <v>2</v>
      </c>
      <c r="X49" s="34">
        <f t="shared" si="6"/>
        <v>2</v>
      </c>
      <c r="Y49" s="34" t="str">
        <f t="shared" si="7"/>
        <v>Mala</v>
      </c>
      <c r="Z49" s="34">
        <f t="shared" si="8"/>
        <v>1</v>
      </c>
      <c r="AA49" s="36">
        <f t="shared" si="9"/>
        <v>2.75</v>
      </c>
      <c r="AB49" s="36" t="str">
        <f t="shared" si="10"/>
        <v>Regular</v>
      </c>
      <c r="AC49" s="36">
        <f t="shared" si="11"/>
        <v>2</v>
      </c>
      <c r="AD49" s="37">
        <f t="shared" si="12"/>
        <v>2.375</v>
      </c>
      <c r="AE49" s="38" t="str">
        <f t="shared" si="13"/>
        <v>Regular</v>
      </c>
      <c r="AF49" s="38">
        <f t="shared" si="14"/>
        <v>2</v>
      </c>
    </row>
    <row r="50" spans="1:32" x14ac:dyDescent="0.25">
      <c r="A50" t="s">
        <v>64</v>
      </c>
      <c r="B50" s="1">
        <v>4</v>
      </c>
      <c r="C50" s="1">
        <v>4</v>
      </c>
      <c r="D50" s="1">
        <v>3</v>
      </c>
      <c r="E50" s="1">
        <v>5</v>
      </c>
      <c r="F50" s="1">
        <v>3</v>
      </c>
      <c r="G50" s="1">
        <v>3</v>
      </c>
      <c r="H50" s="1">
        <v>3</v>
      </c>
      <c r="I50" s="1">
        <v>3</v>
      </c>
      <c r="J50" s="1">
        <v>3</v>
      </c>
      <c r="K50" s="1">
        <v>5</v>
      </c>
      <c r="L50" s="1">
        <v>3</v>
      </c>
      <c r="M50" s="1">
        <v>4</v>
      </c>
      <c r="N50" s="1">
        <v>5</v>
      </c>
      <c r="O50" s="1">
        <v>5</v>
      </c>
      <c r="P50" s="1">
        <v>5</v>
      </c>
      <c r="Q50" s="1">
        <v>3</v>
      </c>
      <c r="R50" s="27">
        <f t="shared" si="0"/>
        <v>4</v>
      </c>
      <c r="S50" s="28" t="str">
        <f t="shared" si="1"/>
        <v>Buena</v>
      </c>
      <c r="T50" s="28">
        <f t="shared" si="2"/>
        <v>3</v>
      </c>
      <c r="U50" s="32">
        <f t="shared" si="3"/>
        <v>3</v>
      </c>
      <c r="V50" s="32" t="str">
        <f t="shared" si="4"/>
        <v>Regular</v>
      </c>
      <c r="W50" s="32">
        <f t="shared" si="5"/>
        <v>2</v>
      </c>
      <c r="X50" s="34">
        <f t="shared" si="6"/>
        <v>3.75</v>
      </c>
      <c r="Y50" s="34" t="str">
        <f t="shared" si="7"/>
        <v>Buena</v>
      </c>
      <c r="Z50" s="34">
        <f t="shared" si="8"/>
        <v>3</v>
      </c>
      <c r="AA50" s="36">
        <f t="shared" si="9"/>
        <v>4.5</v>
      </c>
      <c r="AB50" s="36" t="str">
        <f t="shared" si="10"/>
        <v>Buena</v>
      </c>
      <c r="AC50" s="36">
        <f t="shared" si="11"/>
        <v>3</v>
      </c>
      <c r="AD50" s="37">
        <f t="shared" si="12"/>
        <v>3.8125</v>
      </c>
      <c r="AE50" s="38" t="str">
        <f t="shared" si="13"/>
        <v>Buena</v>
      </c>
      <c r="AF50" s="38">
        <f t="shared" si="14"/>
        <v>3</v>
      </c>
    </row>
    <row r="51" spans="1:32" x14ac:dyDescent="0.25">
      <c r="A51" t="s">
        <v>65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2</v>
      </c>
      <c r="O51" s="1">
        <v>2</v>
      </c>
      <c r="P51" s="1">
        <v>1</v>
      </c>
      <c r="Q51" s="1">
        <v>1</v>
      </c>
      <c r="R51" s="27">
        <f t="shared" si="0"/>
        <v>1</v>
      </c>
      <c r="S51" s="28" t="str">
        <f t="shared" si="1"/>
        <v>Mala</v>
      </c>
      <c r="T51" s="28">
        <f t="shared" si="2"/>
        <v>1</v>
      </c>
      <c r="U51" s="32">
        <f t="shared" si="3"/>
        <v>1</v>
      </c>
      <c r="V51" s="32" t="str">
        <f t="shared" si="4"/>
        <v>Mala</v>
      </c>
      <c r="W51" s="32">
        <f t="shared" si="5"/>
        <v>1</v>
      </c>
      <c r="X51" s="34">
        <f t="shared" si="6"/>
        <v>1</v>
      </c>
      <c r="Y51" s="34" t="str">
        <f t="shared" si="7"/>
        <v>Mala</v>
      </c>
      <c r="Z51" s="34">
        <f t="shared" si="8"/>
        <v>1</v>
      </c>
      <c r="AA51" s="36">
        <f t="shared" si="9"/>
        <v>1.5</v>
      </c>
      <c r="AB51" s="36" t="str">
        <f t="shared" si="10"/>
        <v>Mala</v>
      </c>
      <c r="AC51" s="36">
        <f t="shared" si="11"/>
        <v>1</v>
      </c>
      <c r="AD51" s="37">
        <f t="shared" si="12"/>
        <v>1.125</v>
      </c>
      <c r="AE51" s="38" t="str">
        <f t="shared" si="13"/>
        <v>Mala</v>
      </c>
      <c r="AF51" s="38">
        <f t="shared" si="14"/>
        <v>1</v>
      </c>
    </row>
    <row r="52" spans="1:32" x14ac:dyDescent="0.25">
      <c r="A52" t="s">
        <v>66</v>
      </c>
      <c r="B52" s="1">
        <v>3</v>
      </c>
      <c r="C52" s="1">
        <v>4</v>
      </c>
      <c r="D52" s="1">
        <v>5</v>
      </c>
      <c r="E52" s="1">
        <v>4</v>
      </c>
      <c r="F52" s="1">
        <v>4</v>
      </c>
      <c r="G52" s="1">
        <v>5</v>
      </c>
      <c r="H52" s="1">
        <v>4</v>
      </c>
      <c r="I52" s="1">
        <v>5</v>
      </c>
      <c r="J52" s="1">
        <v>4</v>
      </c>
      <c r="K52" s="1">
        <v>4</v>
      </c>
      <c r="L52" s="1">
        <v>4</v>
      </c>
      <c r="M52" s="1">
        <v>4</v>
      </c>
      <c r="N52" s="1">
        <v>3</v>
      </c>
      <c r="O52" s="1">
        <v>5</v>
      </c>
      <c r="P52" s="1">
        <v>5</v>
      </c>
      <c r="Q52" s="1">
        <v>3</v>
      </c>
      <c r="R52" s="27">
        <f t="shared" si="0"/>
        <v>4</v>
      </c>
      <c r="S52" s="28" t="str">
        <f t="shared" si="1"/>
        <v>Buena</v>
      </c>
      <c r="T52" s="28">
        <f t="shared" si="2"/>
        <v>3</v>
      </c>
      <c r="U52" s="32">
        <f t="shared" si="3"/>
        <v>4.5</v>
      </c>
      <c r="V52" s="32" t="str">
        <f t="shared" si="4"/>
        <v>Buena</v>
      </c>
      <c r="W52" s="32">
        <f t="shared" si="5"/>
        <v>3</v>
      </c>
      <c r="X52" s="34">
        <f t="shared" si="6"/>
        <v>4</v>
      </c>
      <c r="Y52" s="34" t="str">
        <f t="shared" si="7"/>
        <v>Buena</v>
      </c>
      <c r="Z52" s="34">
        <f t="shared" si="8"/>
        <v>3</v>
      </c>
      <c r="AA52" s="36">
        <f t="shared" si="9"/>
        <v>4</v>
      </c>
      <c r="AB52" s="36" t="str">
        <f t="shared" si="10"/>
        <v>Buena</v>
      </c>
      <c r="AC52" s="36">
        <f t="shared" si="11"/>
        <v>3</v>
      </c>
      <c r="AD52" s="37">
        <f t="shared" si="12"/>
        <v>4.125</v>
      </c>
      <c r="AE52" s="38" t="str">
        <f t="shared" si="13"/>
        <v>Buena</v>
      </c>
      <c r="AF52" s="38">
        <f t="shared" si="14"/>
        <v>3</v>
      </c>
    </row>
    <row r="53" spans="1:32" x14ac:dyDescent="0.25">
      <c r="A53" t="s">
        <v>67</v>
      </c>
      <c r="B53" s="1">
        <v>3</v>
      </c>
      <c r="C53" s="1">
        <v>3</v>
      </c>
      <c r="D53" s="1">
        <v>4</v>
      </c>
      <c r="E53" s="1">
        <v>2</v>
      </c>
      <c r="F53" s="1">
        <v>4</v>
      </c>
      <c r="G53" s="1">
        <v>4</v>
      </c>
      <c r="H53" s="1">
        <v>3</v>
      </c>
      <c r="I53" s="1">
        <v>3</v>
      </c>
      <c r="J53" s="1">
        <v>4</v>
      </c>
      <c r="K53" s="1">
        <v>2</v>
      </c>
      <c r="L53" s="1">
        <v>3</v>
      </c>
      <c r="M53" s="1">
        <v>4</v>
      </c>
      <c r="N53" s="1">
        <v>4</v>
      </c>
      <c r="O53" s="1">
        <v>3</v>
      </c>
      <c r="P53" s="1">
        <v>3</v>
      </c>
      <c r="Q53" s="1">
        <v>2</v>
      </c>
      <c r="R53" s="27">
        <f t="shared" si="0"/>
        <v>3</v>
      </c>
      <c r="S53" s="28" t="str">
        <f t="shared" si="1"/>
        <v>Regular</v>
      </c>
      <c r="T53" s="28">
        <f t="shared" si="2"/>
        <v>2</v>
      </c>
      <c r="U53" s="32">
        <f t="shared" si="3"/>
        <v>3.5</v>
      </c>
      <c r="V53" s="32" t="str">
        <f t="shared" si="4"/>
        <v>Regular</v>
      </c>
      <c r="W53" s="32">
        <f t="shared" si="5"/>
        <v>2</v>
      </c>
      <c r="X53" s="34">
        <f t="shared" si="6"/>
        <v>3.25</v>
      </c>
      <c r="Y53" s="34" t="str">
        <f t="shared" si="7"/>
        <v>Regular</v>
      </c>
      <c r="Z53" s="34">
        <f t="shared" si="8"/>
        <v>2</v>
      </c>
      <c r="AA53" s="36">
        <f t="shared" si="9"/>
        <v>3</v>
      </c>
      <c r="AB53" s="36" t="str">
        <f t="shared" si="10"/>
        <v>Regular</v>
      </c>
      <c r="AC53" s="36">
        <f t="shared" si="11"/>
        <v>2</v>
      </c>
      <c r="AD53" s="37">
        <f t="shared" si="12"/>
        <v>3.1875</v>
      </c>
      <c r="AE53" s="38" t="str">
        <f t="shared" si="13"/>
        <v>Regular</v>
      </c>
      <c r="AF53" s="38">
        <f t="shared" si="14"/>
        <v>2</v>
      </c>
    </row>
    <row r="54" spans="1:32" x14ac:dyDescent="0.25">
      <c r="A54" t="s">
        <v>68</v>
      </c>
      <c r="B54" s="1">
        <v>1</v>
      </c>
      <c r="C54" s="1">
        <v>2</v>
      </c>
      <c r="D54" s="1">
        <v>2</v>
      </c>
      <c r="E54" s="1">
        <v>2</v>
      </c>
      <c r="F54" s="1">
        <v>2</v>
      </c>
      <c r="G54" s="1">
        <v>1</v>
      </c>
      <c r="H54" s="1">
        <v>2</v>
      </c>
      <c r="I54" s="1">
        <v>2</v>
      </c>
      <c r="J54" s="1">
        <v>1</v>
      </c>
      <c r="K54" s="1">
        <v>2</v>
      </c>
      <c r="L54" s="1">
        <v>1</v>
      </c>
      <c r="M54" s="1">
        <v>2</v>
      </c>
      <c r="N54" s="1">
        <v>1</v>
      </c>
      <c r="O54" s="1">
        <v>2</v>
      </c>
      <c r="P54" s="1">
        <v>2</v>
      </c>
      <c r="Q54" s="1">
        <v>2</v>
      </c>
      <c r="R54" s="27">
        <f t="shared" si="0"/>
        <v>1.75</v>
      </c>
      <c r="S54" s="28" t="str">
        <f t="shared" si="1"/>
        <v>Mala</v>
      </c>
      <c r="T54" s="28">
        <f t="shared" si="2"/>
        <v>1</v>
      </c>
      <c r="U54" s="32">
        <f t="shared" si="3"/>
        <v>1.75</v>
      </c>
      <c r="V54" s="32" t="str">
        <f t="shared" si="4"/>
        <v>Mala</v>
      </c>
      <c r="W54" s="32">
        <f t="shared" si="5"/>
        <v>1</v>
      </c>
      <c r="X54" s="34">
        <f t="shared" si="6"/>
        <v>1.5</v>
      </c>
      <c r="Y54" s="34" t="str">
        <f t="shared" si="7"/>
        <v>Mala</v>
      </c>
      <c r="Z54" s="34">
        <f t="shared" si="8"/>
        <v>1</v>
      </c>
      <c r="AA54" s="36">
        <f t="shared" si="9"/>
        <v>1.75</v>
      </c>
      <c r="AB54" s="36" t="str">
        <f t="shared" si="10"/>
        <v>Mala</v>
      </c>
      <c r="AC54" s="36">
        <f t="shared" si="11"/>
        <v>1</v>
      </c>
      <c r="AD54" s="37">
        <f t="shared" si="12"/>
        <v>1.6875</v>
      </c>
      <c r="AE54" s="38" t="str">
        <f t="shared" si="13"/>
        <v>Mala</v>
      </c>
      <c r="AF54" s="38">
        <f t="shared" si="14"/>
        <v>1</v>
      </c>
    </row>
    <row r="55" spans="1:32" x14ac:dyDescent="0.25">
      <c r="A55" t="s">
        <v>69</v>
      </c>
      <c r="B55" s="1">
        <v>3</v>
      </c>
      <c r="C55" s="1">
        <v>4</v>
      </c>
      <c r="D55" s="1">
        <v>4</v>
      </c>
      <c r="E55" s="1">
        <v>4</v>
      </c>
      <c r="F55" s="1">
        <v>4</v>
      </c>
      <c r="G55" s="1">
        <v>5</v>
      </c>
      <c r="H55" s="1">
        <v>5</v>
      </c>
      <c r="I55" s="1">
        <v>4</v>
      </c>
      <c r="J55" s="1">
        <v>5</v>
      </c>
      <c r="K55" s="1">
        <v>3</v>
      </c>
      <c r="L55" s="1">
        <v>3</v>
      </c>
      <c r="M55" s="1">
        <v>5</v>
      </c>
      <c r="N55" s="1">
        <v>5</v>
      </c>
      <c r="O55" s="1">
        <v>4</v>
      </c>
      <c r="P55" s="1">
        <v>3</v>
      </c>
      <c r="Q55" s="1">
        <v>5</v>
      </c>
      <c r="R55" s="27">
        <f t="shared" si="0"/>
        <v>3.75</v>
      </c>
      <c r="S55" s="28" t="str">
        <f t="shared" si="1"/>
        <v>Buena</v>
      </c>
      <c r="T55" s="28">
        <f t="shared" si="2"/>
        <v>3</v>
      </c>
      <c r="U55" s="32">
        <f t="shared" si="3"/>
        <v>4.5</v>
      </c>
      <c r="V55" s="32" t="str">
        <f t="shared" si="4"/>
        <v>Buena</v>
      </c>
      <c r="W55" s="32">
        <f t="shared" si="5"/>
        <v>3</v>
      </c>
      <c r="X55" s="34">
        <f t="shared" si="6"/>
        <v>4</v>
      </c>
      <c r="Y55" s="34" t="str">
        <f t="shared" si="7"/>
        <v>Buena</v>
      </c>
      <c r="Z55" s="34">
        <f t="shared" si="8"/>
        <v>3</v>
      </c>
      <c r="AA55" s="36">
        <f t="shared" si="9"/>
        <v>4.25</v>
      </c>
      <c r="AB55" s="36" t="str">
        <f t="shared" si="10"/>
        <v>Buena</v>
      </c>
      <c r="AC55" s="36">
        <f t="shared" si="11"/>
        <v>3</v>
      </c>
      <c r="AD55" s="37">
        <f t="shared" si="12"/>
        <v>4.125</v>
      </c>
      <c r="AE55" s="38" t="str">
        <f t="shared" si="13"/>
        <v>Buena</v>
      </c>
      <c r="AF55" s="38">
        <f t="shared" si="14"/>
        <v>3</v>
      </c>
    </row>
    <row r="56" spans="1:32" x14ac:dyDescent="0.25">
      <c r="A56" t="s">
        <v>70</v>
      </c>
      <c r="B56" s="1">
        <v>5</v>
      </c>
      <c r="C56" s="1">
        <v>5</v>
      </c>
      <c r="D56" s="1">
        <v>5</v>
      </c>
      <c r="E56" s="1">
        <v>4</v>
      </c>
      <c r="F56" s="1">
        <v>3</v>
      </c>
      <c r="G56" s="1">
        <v>3</v>
      </c>
      <c r="H56" s="1">
        <v>5</v>
      </c>
      <c r="I56" s="1">
        <v>5</v>
      </c>
      <c r="J56" s="1">
        <v>5</v>
      </c>
      <c r="K56" s="1">
        <v>5</v>
      </c>
      <c r="L56" s="1">
        <v>5</v>
      </c>
      <c r="M56" s="1">
        <v>5</v>
      </c>
      <c r="N56" s="1">
        <v>5</v>
      </c>
      <c r="O56" s="1">
        <v>4</v>
      </c>
      <c r="P56" s="1">
        <v>5</v>
      </c>
      <c r="Q56" s="1">
        <v>5</v>
      </c>
      <c r="R56" s="27">
        <f t="shared" si="0"/>
        <v>4.75</v>
      </c>
      <c r="S56" s="28" t="str">
        <f t="shared" si="1"/>
        <v>Buena</v>
      </c>
      <c r="T56" s="28">
        <f t="shared" si="2"/>
        <v>3</v>
      </c>
      <c r="U56" s="32">
        <f t="shared" si="3"/>
        <v>4</v>
      </c>
      <c r="V56" s="32" t="str">
        <f t="shared" si="4"/>
        <v>Buena</v>
      </c>
      <c r="W56" s="32">
        <f t="shared" si="5"/>
        <v>3</v>
      </c>
      <c r="X56" s="34">
        <f t="shared" si="6"/>
        <v>5</v>
      </c>
      <c r="Y56" s="34" t="str">
        <f t="shared" si="7"/>
        <v>Buena</v>
      </c>
      <c r="Z56" s="34">
        <f t="shared" si="8"/>
        <v>3</v>
      </c>
      <c r="AA56" s="36">
        <f t="shared" si="9"/>
        <v>4.75</v>
      </c>
      <c r="AB56" s="36" t="str">
        <f t="shared" si="10"/>
        <v>Buena</v>
      </c>
      <c r="AC56" s="36">
        <f t="shared" si="11"/>
        <v>3</v>
      </c>
      <c r="AD56" s="37">
        <f t="shared" si="12"/>
        <v>4.625</v>
      </c>
      <c r="AE56" s="38" t="str">
        <f t="shared" si="13"/>
        <v>Buena</v>
      </c>
      <c r="AF56" s="38">
        <f t="shared" si="14"/>
        <v>3</v>
      </c>
    </row>
    <row r="57" spans="1:32" x14ac:dyDescent="0.25">
      <c r="A57" t="s">
        <v>71</v>
      </c>
      <c r="B57" s="1">
        <v>4</v>
      </c>
      <c r="C57" s="1">
        <v>4</v>
      </c>
      <c r="D57" s="1">
        <v>5</v>
      </c>
      <c r="E57" s="1">
        <v>4</v>
      </c>
      <c r="F57" s="1">
        <v>5</v>
      </c>
      <c r="G57" s="1">
        <v>5</v>
      </c>
      <c r="H57" s="1">
        <v>3</v>
      </c>
      <c r="I57" s="1">
        <v>4</v>
      </c>
      <c r="J57" s="1">
        <v>5</v>
      </c>
      <c r="K57" s="1">
        <v>4</v>
      </c>
      <c r="L57" s="1">
        <v>4</v>
      </c>
      <c r="M57" s="1">
        <v>5</v>
      </c>
      <c r="N57" s="1">
        <v>4</v>
      </c>
      <c r="O57" s="1">
        <v>3</v>
      </c>
      <c r="P57" s="1">
        <v>5</v>
      </c>
      <c r="Q57" s="1">
        <v>5</v>
      </c>
      <c r="R57" s="27">
        <f t="shared" si="0"/>
        <v>4.25</v>
      </c>
      <c r="S57" s="28" t="str">
        <f t="shared" si="1"/>
        <v>Buena</v>
      </c>
      <c r="T57" s="28">
        <f t="shared" si="2"/>
        <v>3</v>
      </c>
      <c r="U57" s="32">
        <f t="shared" si="3"/>
        <v>4.25</v>
      </c>
      <c r="V57" s="32" t="str">
        <f t="shared" si="4"/>
        <v>Buena</v>
      </c>
      <c r="W57" s="32">
        <f t="shared" si="5"/>
        <v>3</v>
      </c>
      <c r="X57" s="34">
        <f t="shared" si="6"/>
        <v>4.5</v>
      </c>
      <c r="Y57" s="34" t="str">
        <f t="shared" si="7"/>
        <v>Buena</v>
      </c>
      <c r="Z57" s="34">
        <f t="shared" si="8"/>
        <v>3</v>
      </c>
      <c r="AA57" s="36">
        <f t="shared" si="9"/>
        <v>4.25</v>
      </c>
      <c r="AB57" s="36" t="str">
        <f t="shared" si="10"/>
        <v>Buena</v>
      </c>
      <c r="AC57" s="36">
        <f t="shared" si="11"/>
        <v>3</v>
      </c>
      <c r="AD57" s="37">
        <f t="shared" si="12"/>
        <v>4.3125</v>
      </c>
      <c r="AE57" s="38" t="str">
        <f t="shared" si="13"/>
        <v>Buena</v>
      </c>
      <c r="AF57" s="38">
        <f t="shared" si="14"/>
        <v>3</v>
      </c>
    </row>
    <row r="58" spans="1:32" x14ac:dyDescent="0.25">
      <c r="A58" t="s">
        <v>72</v>
      </c>
      <c r="B58" s="1">
        <v>2</v>
      </c>
      <c r="C58" s="1">
        <v>3</v>
      </c>
      <c r="D58" s="1">
        <v>3</v>
      </c>
      <c r="E58" s="1">
        <v>3</v>
      </c>
      <c r="F58" s="1">
        <v>3</v>
      </c>
      <c r="G58" s="1">
        <v>2</v>
      </c>
      <c r="H58" s="1">
        <v>3</v>
      </c>
      <c r="I58" s="1">
        <v>2</v>
      </c>
      <c r="J58" s="1">
        <v>3</v>
      </c>
      <c r="K58" s="1">
        <v>3</v>
      </c>
      <c r="L58" s="1">
        <v>3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27">
        <f t="shared" si="0"/>
        <v>2.75</v>
      </c>
      <c r="S58" s="28" t="str">
        <f t="shared" si="1"/>
        <v>Regular</v>
      </c>
      <c r="T58" s="28">
        <f t="shared" si="2"/>
        <v>2</v>
      </c>
      <c r="U58" s="32">
        <f t="shared" si="3"/>
        <v>2.5</v>
      </c>
      <c r="V58" s="32" t="str">
        <f t="shared" si="4"/>
        <v>Regular</v>
      </c>
      <c r="W58" s="32">
        <f t="shared" si="5"/>
        <v>2</v>
      </c>
      <c r="X58" s="34">
        <f t="shared" si="6"/>
        <v>2.75</v>
      </c>
      <c r="Y58" s="34" t="str">
        <f t="shared" si="7"/>
        <v>Regular</v>
      </c>
      <c r="Z58" s="34">
        <f t="shared" si="8"/>
        <v>2</v>
      </c>
      <c r="AA58" s="36">
        <f t="shared" si="9"/>
        <v>2</v>
      </c>
      <c r="AB58" s="36" t="str">
        <f t="shared" si="10"/>
        <v>Mala</v>
      </c>
      <c r="AC58" s="36">
        <f t="shared" si="11"/>
        <v>1</v>
      </c>
      <c r="AD58" s="37">
        <f t="shared" si="12"/>
        <v>2.5</v>
      </c>
      <c r="AE58" s="38" t="str">
        <f t="shared" si="13"/>
        <v>Regular</v>
      </c>
      <c r="AF58" s="38">
        <f t="shared" si="14"/>
        <v>2</v>
      </c>
    </row>
    <row r="59" spans="1:32" x14ac:dyDescent="0.25">
      <c r="A59" t="s">
        <v>73</v>
      </c>
      <c r="B59" s="1">
        <v>5</v>
      </c>
      <c r="C59" s="1">
        <v>4</v>
      </c>
      <c r="D59" s="1">
        <v>5</v>
      </c>
      <c r="E59" s="1">
        <v>5</v>
      </c>
      <c r="F59" s="1">
        <v>3</v>
      </c>
      <c r="G59" s="1">
        <v>5</v>
      </c>
      <c r="H59" s="1">
        <v>5</v>
      </c>
      <c r="I59" s="1">
        <v>4</v>
      </c>
      <c r="J59" s="1">
        <v>3</v>
      </c>
      <c r="K59" s="1">
        <v>5</v>
      </c>
      <c r="L59" s="1">
        <v>5</v>
      </c>
      <c r="M59" s="1">
        <v>4</v>
      </c>
      <c r="N59" s="1">
        <v>5</v>
      </c>
      <c r="O59" s="1">
        <v>5</v>
      </c>
      <c r="P59" s="1">
        <v>5</v>
      </c>
      <c r="Q59" s="1">
        <v>3</v>
      </c>
      <c r="R59" s="27">
        <f t="shared" si="0"/>
        <v>4.75</v>
      </c>
      <c r="S59" s="28" t="str">
        <f t="shared" si="1"/>
        <v>Buena</v>
      </c>
      <c r="T59" s="28">
        <f t="shared" si="2"/>
        <v>3</v>
      </c>
      <c r="U59" s="32">
        <f t="shared" si="3"/>
        <v>4.25</v>
      </c>
      <c r="V59" s="32" t="str">
        <f t="shared" si="4"/>
        <v>Buena</v>
      </c>
      <c r="W59" s="32">
        <f t="shared" si="5"/>
        <v>3</v>
      </c>
      <c r="X59" s="34">
        <f t="shared" si="6"/>
        <v>4.25</v>
      </c>
      <c r="Y59" s="34" t="str">
        <f t="shared" si="7"/>
        <v>Buena</v>
      </c>
      <c r="Z59" s="34">
        <f t="shared" si="8"/>
        <v>3</v>
      </c>
      <c r="AA59" s="36">
        <f t="shared" si="9"/>
        <v>4.5</v>
      </c>
      <c r="AB59" s="36" t="str">
        <f t="shared" si="10"/>
        <v>Buena</v>
      </c>
      <c r="AC59" s="36">
        <f t="shared" si="11"/>
        <v>3</v>
      </c>
      <c r="AD59" s="37">
        <f t="shared" si="12"/>
        <v>4.4375</v>
      </c>
      <c r="AE59" s="38" t="str">
        <f t="shared" si="13"/>
        <v>Buena</v>
      </c>
      <c r="AF59" s="38">
        <f t="shared" si="14"/>
        <v>3</v>
      </c>
    </row>
    <row r="60" spans="1:32" x14ac:dyDescent="0.25">
      <c r="A60" t="s">
        <v>74</v>
      </c>
      <c r="B60" s="1">
        <v>2</v>
      </c>
      <c r="C60" s="1">
        <v>4</v>
      </c>
      <c r="D60" s="1">
        <v>4</v>
      </c>
      <c r="E60" s="1">
        <v>3</v>
      </c>
      <c r="F60" s="1">
        <v>3</v>
      </c>
      <c r="G60" s="1">
        <v>3</v>
      </c>
      <c r="H60" s="1">
        <v>3</v>
      </c>
      <c r="I60" s="1">
        <v>2</v>
      </c>
      <c r="J60" s="1">
        <v>3</v>
      </c>
      <c r="K60" s="1">
        <v>4</v>
      </c>
      <c r="L60" s="1">
        <v>2</v>
      </c>
      <c r="M60" s="1">
        <v>2</v>
      </c>
      <c r="N60" s="1">
        <v>2</v>
      </c>
      <c r="O60" s="1">
        <v>3</v>
      </c>
      <c r="P60" s="1">
        <v>3</v>
      </c>
      <c r="Q60" s="1">
        <v>4</v>
      </c>
      <c r="R60" s="27">
        <f t="shared" si="0"/>
        <v>3.25</v>
      </c>
      <c r="S60" s="28" t="str">
        <f t="shared" si="1"/>
        <v>Regular</v>
      </c>
      <c r="T60" s="28">
        <f t="shared" si="2"/>
        <v>2</v>
      </c>
      <c r="U60" s="32">
        <f t="shared" si="3"/>
        <v>2.75</v>
      </c>
      <c r="V60" s="32" t="str">
        <f t="shared" si="4"/>
        <v>Regular</v>
      </c>
      <c r="W60" s="32">
        <f t="shared" si="5"/>
        <v>2</v>
      </c>
      <c r="X60" s="34">
        <f t="shared" si="6"/>
        <v>2.75</v>
      </c>
      <c r="Y60" s="34" t="str">
        <f t="shared" si="7"/>
        <v>Regular</v>
      </c>
      <c r="Z60" s="34">
        <f t="shared" si="8"/>
        <v>2</v>
      </c>
      <c r="AA60" s="36">
        <f t="shared" si="9"/>
        <v>3</v>
      </c>
      <c r="AB60" s="36" t="str">
        <f t="shared" si="10"/>
        <v>Regular</v>
      </c>
      <c r="AC60" s="36">
        <f t="shared" si="11"/>
        <v>2</v>
      </c>
      <c r="AD60" s="37">
        <f t="shared" si="12"/>
        <v>2.9375</v>
      </c>
      <c r="AE60" s="38" t="str">
        <f t="shared" si="13"/>
        <v>Regular</v>
      </c>
      <c r="AF60" s="38">
        <f t="shared" si="14"/>
        <v>2</v>
      </c>
    </row>
    <row r="61" spans="1:32" x14ac:dyDescent="0.25">
      <c r="A61" t="s">
        <v>75</v>
      </c>
      <c r="B61" s="1">
        <v>3</v>
      </c>
      <c r="C61" s="1">
        <v>2</v>
      </c>
      <c r="D61" s="1">
        <v>3</v>
      </c>
      <c r="E61" s="1">
        <v>2</v>
      </c>
      <c r="F61" s="1">
        <v>3</v>
      </c>
      <c r="G61" s="1">
        <v>3</v>
      </c>
      <c r="H61" s="1">
        <v>3</v>
      </c>
      <c r="I61" s="1">
        <v>3</v>
      </c>
      <c r="J61" s="1">
        <v>3</v>
      </c>
      <c r="K61" s="1">
        <v>3</v>
      </c>
      <c r="L61" s="1">
        <v>2</v>
      </c>
      <c r="M61" s="1">
        <v>3</v>
      </c>
      <c r="N61" s="1">
        <v>4</v>
      </c>
      <c r="O61" s="1">
        <v>3</v>
      </c>
      <c r="P61" s="1">
        <v>3</v>
      </c>
      <c r="Q61" s="1">
        <v>3</v>
      </c>
      <c r="R61" s="27">
        <f t="shared" si="0"/>
        <v>2.5</v>
      </c>
      <c r="S61" s="28" t="str">
        <f t="shared" si="1"/>
        <v>Regular</v>
      </c>
      <c r="T61" s="28">
        <f t="shared" si="2"/>
        <v>2</v>
      </c>
      <c r="U61" s="32">
        <f t="shared" si="3"/>
        <v>3</v>
      </c>
      <c r="V61" s="32" t="str">
        <f t="shared" si="4"/>
        <v>Regular</v>
      </c>
      <c r="W61" s="32">
        <f t="shared" si="5"/>
        <v>2</v>
      </c>
      <c r="X61" s="34">
        <f t="shared" si="6"/>
        <v>2.75</v>
      </c>
      <c r="Y61" s="34" t="str">
        <f t="shared" si="7"/>
        <v>Regular</v>
      </c>
      <c r="Z61" s="34">
        <f t="shared" si="8"/>
        <v>2</v>
      </c>
      <c r="AA61" s="36">
        <f t="shared" si="9"/>
        <v>3.25</v>
      </c>
      <c r="AB61" s="36" t="str">
        <f t="shared" si="10"/>
        <v>Regular</v>
      </c>
      <c r="AC61" s="36">
        <f t="shared" si="11"/>
        <v>2</v>
      </c>
      <c r="AD61" s="37">
        <f t="shared" si="12"/>
        <v>2.875</v>
      </c>
      <c r="AE61" s="38" t="str">
        <f t="shared" si="13"/>
        <v>Regular</v>
      </c>
      <c r="AF61" s="38">
        <f t="shared" si="14"/>
        <v>2</v>
      </c>
    </row>
    <row r="62" spans="1:32" x14ac:dyDescent="0.25">
      <c r="A62" t="s">
        <v>76</v>
      </c>
      <c r="B62" s="1">
        <v>3</v>
      </c>
      <c r="C62" s="1">
        <v>4</v>
      </c>
      <c r="D62" s="1">
        <v>4</v>
      </c>
      <c r="E62" s="1">
        <v>2</v>
      </c>
      <c r="F62" s="1">
        <v>3</v>
      </c>
      <c r="G62" s="1">
        <v>3</v>
      </c>
      <c r="H62" s="1">
        <v>3</v>
      </c>
      <c r="I62" s="1">
        <v>3</v>
      </c>
      <c r="J62" s="1">
        <v>4</v>
      </c>
      <c r="K62" s="1">
        <v>4</v>
      </c>
      <c r="L62" s="1">
        <v>4</v>
      </c>
      <c r="M62" s="1">
        <v>3</v>
      </c>
      <c r="N62" s="1">
        <v>2</v>
      </c>
      <c r="O62" s="1">
        <v>2</v>
      </c>
      <c r="P62" s="1">
        <v>3</v>
      </c>
      <c r="Q62" s="1">
        <v>2</v>
      </c>
      <c r="R62" s="27">
        <f t="shared" si="0"/>
        <v>3.25</v>
      </c>
      <c r="S62" s="28" t="str">
        <f t="shared" si="1"/>
        <v>Regular</v>
      </c>
      <c r="T62" s="28">
        <f t="shared" si="2"/>
        <v>2</v>
      </c>
      <c r="U62" s="32">
        <f t="shared" si="3"/>
        <v>3</v>
      </c>
      <c r="V62" s="32" t="str">
        <f t="shared" si="4"/>
        <v>Regular</v>
      </c>
      <c r="W62" s="32">
        <f t="shared" si="5"/>
        <v>2</v>
      </c>
      <c r="X62" s="34">
        <f t="shared" si="6"/>
        <v>3.75</v>
      </c>
      <c r="Y62" s="34" t="str">
        <f t="shared" si="7"/>
        <v>Buena</v>
      </c>
      <c r="Z62" s="34">
        <f t="shared" si="8"/>
        <v>3</v>
      </c>
      <c r="AA62" s="36">
        <f t="shared" si="9"/>
        <v>2.25</v>
      </c>
      <c r="AB62" s="36" t="str">
        <f t="shared" si="10"/>
        <v>Mala</v>
      </c>
      <c r="AC62" s="36">
        <f t="shared" si="11"/>
        <v>1</v>
      </c>
      <c r="AD62" s="37">
        <f t="shared" si="12"/>
        <v>3.0625</v>
      </c>
      <c r="AE62" s="38" t="str">
        <f t="shared" si="13"/>
        <v>Regular</v>
      </c>
      <c r="AF62" s="38">
        <f t="shared" si="14"/>
        <v>2</v>
      </c>
    </row>
    <row r="63" spans="1:32" x14ac:dyDescent="0.25">
      <c r="A63" t="s">
        <v>77</v>
      </c>
      <c r="B63" s="1">
        <v>5</v>
      </c>
      <c r="C63" s="1">
        <v>4</v>
      </c>
      <c r="D63" s="1">
        <v>4</v>
      </c>
      <c r="E63" s="1">
        <v>4</v>
      </c>
      <c r="F63" s="1">
        <v>5</v>
      </c>
      <c r="G63" s="1">
        <v>4</v>
      </c>
      <c r="H63" s="1">
        <v>5</v>
      </c>
      <c r="I63" s="1">
        <v>3</v>
      </c>
      <c r="J63" s="1">
        <v>5</v>
      </c>
      <c r="K63" s="1">
        <v>5</v>
      </c>
      <c r="L63" s="1">
        <v>5</v>
      </c>
      <c r="M63" s="1">
        <v>5</v>
      </c>
      <c r="N63" s="1">
        <v>5</v>
      </c>
      <c r="O63" s="1">
        <v>4</v>
      </c>
      <c r="P63" s="1">
        <v>5</v>
      </c>
      <c r="Q63" s="1">
        <v>5</v>
      </c>
      <c r="R63" s="27">
        <f t="shared" si="0"/>
        <v>4.25</v>
      </c>
      <c r="S63" s="28" t="str">
        <f t="shared" si="1"/>
        <v>Buena</v>
      </c>
      <c r="T63" s="28">
        <f t="shared" si="2"/>
        <v>3</v>
      </c>
      <c r="U63" s="32">
        <f t="shared" si="3"/>
        <v>4.25</v>
      </c>
      <c r="V63" s="32" t="str">
        <f t="shared" si="4"/>
        <v>Buena</v>
      </c>
      <c r="W63" s="32">
        <f t="shared" si="5"/>
        <v>3</v>
      </c>
      <c r="X63" s="34">
        <f t="shared" si="6"/>
        <v>5</v>
      </c>
      <c r="Y63" s="34" t="str">
        <f t="shared" si="7"/>
        <v>Buena</v>
      </c>
      <c r="Z63" s="34">
        <f t="shared" si="8"/>
        <v>3</v>
      </c>
      <c r="AA63" s="36">
        <f t="shared" si="9"/>
        <v>4.75</v>
      </c>
      <c r="AB63" s="36" t="str">
        <f t="shared" si="10"/>
        <v>Buena</v>
      </c>
      <c r="AC63" s="36">
        <f t="shared" si="11"/>
        <v>3</v>
      </c>
      <c r="AD63" s="37">
        <f t="shared" si="12"/>
        <v>4.5625</v>
      </c>
      <c r="AE63" s="38" t="str">
        <f t="shared" si="13"/>
        <v>Buena</v>
      </c>
      <c r="AF63" s="38">
        <f t="shared" si="14"/>
        <v>3</v>
      </c>
    </row>
    <row r="64" spans="1:32" x14ac:dyDescent="0.25">
      <c r="A64" t="s">
        <v>78</v>
      </c>
      <c r="B64" s="1">
        <v>2</v>
      </c>
      <c r="C64" s="1">
        <v>4</v>
      </c>
      <c r="D64" s="1">
        <v>3</v>
      </c>
      <c r="E64" s="1">
        <v>4</v>
      </c>
      <c r="F64" s="1">
        <v>3</v>
      </c>
      <c r="G64" s="1">
        <v>2</v>
      </c>
      <c r="H64" s="1">
        <v>4</v>
      </c>
      <c r="I64" s="1">
        <v>3</v>
      </c>
      <c r="J64" s="1">
        <v>3</v>
      </c>
      <c r="K64" s="1">
        <v>4</v>
      </c>
      <c r="L64" s="1">
        <v>4</v>
      </c>
      <c r="M64" s="1">
        <v>4</v>
      </c>
      <c r="N64" s="1">
        <v>4</v>
      </c>
      <c r="O64" s="1">
        <v>3</v>
      </c>
      <c r="P64" s="1">
        <v>4</v>
      </c>
      <c r="Q64" s="1">
        <v>3</v>
      </c>
      <c r="R64" s="27">
        <f t="shared" si="0"/>
        <v>3.25</v>
      </c>
      <c r="S64" s="28" t="str">
        <f t="shared" si="1"/>
        <v>Regular</v>
      </c>
      <c r="T64" s="28">
        <f t="shared" si="2"/>
        <v>2</v>
      </c>
      <c r="U64" s="32">
        <f t="shared" si="3"/>
        <v>3</v>
      </c>
      <c r="V64" s="32" t="str">
        <f t="shared" si="4"/>
        <v>Regular</v>
      </c>
      <c r="W64" s="32">
        <f t="shared" si="5"/>
        <v>2</v>
      </c>
      <c r="X64" s="34">
        <f t="shared" si="6"/>
        <v>3.75</v>
      </c>
      <c r="Y64" s="34" t="str">
        <f t="shared" si="7"/>
        <v>Buena</v>
      </c>
      <c r="Z64" s="34">
        <f t="shared" si="8"/>
        <v>3</v>
      </c>
      <c r="AA64" s="36">
        <f t="shared" si="9"/>
        <v>3.5</v>
      </c>
      <c r="AB64" s="36" t="str">
        <f t="shared" si="10"/>
        <v>Regular</v>
      </c>
      <c r="AC64" s="36">
        <f t="shared" si="11"/>
        <v>2</v>
      </c>
      <c r="AD64" s="37">
        <f t="shared" si="12"/>
        <v>3.375</v>
      </c>
      <c r="AE64" s="38" t="str">
        <f t="shared" si="13"/>
        <v>Regular</v>
      </c>
      <c r="AF64" s="38">
        <f t="shared" si="14"/>
        <v>2</v>
      </c>
    </row>
    <row r="65" spans="1:32" x14ac:dyDescent="0.25">
      <c r="A65" t="s">
        <v>79</v>
      </c>
      <c r="B65" s="1">
        <v>1</v>
      </c>
      <c r="C65" s="1">
        <v>2</v>
      </c>
      <c r="D65" s="1">
        <v>1</v>
      </c>
      <c r="E65" s="1">
        <v>1</v>
      </c>
      <c r="F65" s="1">
        <v>2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2</v>
      </c>
      <c r="M65" s="1">
        <v>2</v>
      </c>
      <c r="N65" s="1">
        <v>1</v>
      </c>
      <c r="O65" s="1">
        <v>2</v>
      </c>
      <c r="P65" s="1">
        <v>1</v>
      </c>
      <c r="Q65" s="1">
        <v>2</v>
      </c>
      <c r="R65" s="27">
        <f t="shared" si="0"/>
        <v>1.25</v>
      </c>
      <c r="S65" s="28" t="str">
        <f t="shared" si="1"/>
        <v>Mala</v>
      </c>
      <c r="T65" s="28">
        <f t="shared" si="2"/>
        <v>1</v>
      </c>
      <c r="U65" s="32">
        <f t="shared" si="3"/>
        <v>1.25</v>
      </c>
      <c r="V65" s="32" t="str">
        <f t="shared" si="4"/>
        <v>Mala</v>
      </c>
      <c r="W65" s="32">
        <f t="shared" si="5"/>
        <v>1</v>
      </c>
      <c r="X65" s="34">
        <f t="shared" si="6"/>
        <v>1.5</v>
      </c>
      <c r="Y65" s="34" t="str">
        <f t="shared" si="7"/>
        <v>Mala</v>
      </c>
      <c r="Z65" s="34">
        <f t="shared" si="8"/>
        <v>1</v>
      </c>
      <c r="AA65" s="36">
        <f t="shared" si="9"/>
        <v>1.5</v>
      </c>
      <c r="AB65" s="36" t="str">
        <f t="shared" si="10"/>
        <v>Mala</v>
      </c>
      <c r="AC65" s="36">
        <f t="shared" si="11"/>
        <v>1</v>
      </c>
      <c r="AD65" s="37">
        <f t="shared" si="12"/>
        <v>1.375</v>
      </c>
      <c r="AE65" s="38" t="str">
        <f t="shared" si="13"/>
        <v>Mala</v>
      </c>
      <c r="AF65" s="38">
        <f t="shared" si="14"/>
        <v>1</v>
      </c>
    </row>
    <row r="66" spans="1:32" x14ac:dyDescent="0.25">
      <c r="A66" t="s">
        <v>80</v>
      </c>
      <c r="B66" s="1">
        <v>3</v>
      </c>
      <c r="C66" s="1">
        <v>3</v>
      </c>
      <c r="D66" s="1">
        <v>3</v>
      </c>
      <c r="E66" s="1">
        <v>3</v>
      </c>
      <c r="F66" s="1">
        <v>4</v>
      </c>
      <c r="G66" s="1">
        <v>4</v>
      </c>
      <c r="H66" s="1">
        <v>2</v>
      </c>
      <c r="I66" s="1">
        <v>2</v>
      </c>
      <c r="J66" s="1">
        <v>3</v>
      </c>
      <c r="K66" s="1">
        <v>2</v>
      </c>
      <c r="L66" s="1">
        <v>3</v>
      </c>
      <c r="M66" s="1">
        <v>3</v>
      </c>
      <c r="N66" s="1">
        <v>4</v>
      </c>
      <c r="O66" s="1">
        <v>3</v>
      </c>
      <c r="P66" s="1">
        <v>3</v>
      </c>
      <c r="Q66" s="1">
        <v>2</v>
      </c>
      <c r="R66" s="27">
        <f t="shared" si="0"/>
        <v>3</v>
      </c>
      <c r="S66" s="28" t="str">
        <f t="shared" si="1"/>
        <v>Regular</v>
      </c>
      <c r="T66" s="28">
        <f t="shared" si="2"/>
        <v>2</v>
      </c>
      <c r="U66" s="32">
        <f t="shared" si="3"/>
        <v>3</v>
      </c>
      <c r="V66" s="32" t="str">
        <f t="shared" si="4"/>
        <v>Regular</v>
      </c>
      <c r="W66" s="32">
        <f t="shared" si="5"/>
        <v>2</v>
      </c>
      <c r="X66" s="34">
        <f t="shared" si="6"/>
        <v>2.75</v>
      </c>
      <c r="Y66" s="34" t="str">
        <f t="shared" si="7"/>
        <v>Regular</v>
      </c>
      <c r="Z66" s="34">
        <f t="shared" si="8"/>
        <v>2</v>
      </c>
      <c r="AA66" s="36">
        <f t="shared" si="9"/>
        <v>3</v>
      </c>
      <c r="AB66" s="36" t="str">
        <f t="shared" si="10"/>
        <v>Regular</v>
      </c>
      <c r="AC66" s="36">
        <f t="shared" si="11"/>
        <v>2</v>
      </c>
      <c r="AD66" s="37">
        <f t="shared" si="12"/>
        <v>2.9375</v>
      </c>
      <c r="AE66" s="38" t="str">
        <f t="shared" si="13"/>
        <v>Regular</v>
      </c>
      <c r="AF66" s="38">
        <f t="shared" si="14"/>
        <v>2</v>
      </c>
    </row>
    <row r="67" spans="1:32" x14ac:dyDescent="0.25">
      <c r="A67" t="s">
        <v>81</v>
      </c>
      <c r="B67" s="1">
        <v>2</v>
      </c>
      <c r="C67" s="1">
        <v>2</v>
      </c>
      <c r="D67" s="1">
        <v>2</v>
      </c>
      <c r="E67" s="1">
        <v>2</v>
      </c>
      <c r="F67" s="1">
        <v>3</v>
      </c>
      <c r="G67" s="1">
        <v>2</v>
      </c>
      <c r="H67" s="1">
        <v>3</v>
      </c>
      <c r="I67" s="1">
        <v>3</v>
      </c>
      <c r="J67" s="1">
        <v>2</v>
      </c>
      <c r="K67" s="1">
        <v>2</v>
      </c>
      <c r="L67" s="1">
        <v>2</v>
      </c>
      <c r="M67" s="1">
        <v>3</v>
      </c>
      <c r="N67" s="1">
        <v>2</v>
      </c>
      <c r="O67" s="1">
        <v>3</v>
      </c>
      <c r="P67" s="1">
        <v>3</v>
      </c>
      <c r="Q67" s="1">
        <v>2</v>
      </c>
      <c r="R67" s="27">
        <f t="shared" ref="R67:R130" si="18">AVERAGE(B67:E67)</f>
        <v>2</v>
      </c>
      <c r="S67" s="28" t="str">
        <f t="shared" ref="S67:S130" si="19">IF(R67&lt;=$AR$11,$AP$11,IF(R67&lt;=$AR$12,$AP$12,IF(R67&lt;=$AR$13,$AP$13,0)))</f>
        <v>Mala</v>
      </c>
      <c r="T67" s="28">
        <f t="shared" ref="T67:T130" si="20">IF(S67=$AP$11,$AO$11,IF(S67=$AP$12,$AO$12,IF(S67=$AP$13,$AO$13,0)))</f>
        <v>1</v>
      </c>
      <c r="U67" s="32">
        <f t="shared" ref="U67:U130" si="21">AVERAGE(F67:I67)</f>
        <v>2.75</v>
      </c>
      <c r="V67" s="32" t="str">
        <f t="shared" ref="V67:V130" si="22">IF(U67&lt;=$AR$11,$AP$11,IF(U67&lt;=$AR$12,$AP$12,IF(U67&lt;=$AR$13,$AP$13,0)))</f>
        <v>Regular</v>
      </c>
      <c r="W67" s="32">
        <f t="shared" ref="W67:W130" si="23">IF(V67=$AP$11,$AO$11,IF(V67=$AP$12,$AO$12,IF(V67=$AP$13,$AO$13,0)))</f>
        <v>2</v>
      </c>
      <c r="X67" s="34">
        <f t="shared" ref="X67:X130" si="24">AVERAGE(J67:M67)</f>
        <v>2.25</v>
      </c>
      <c r="Y67" s="34" t="str">
        <f t="shared" ref="Y67:Y130" si="25">IF(X67&lt;=$AR$11,$AP$11,IF(X67&lt;=$AR$12,$AP$12,IF(X67&lt;=$AR$13,$AP$13,0)))</f>
        <v>Mala</v>
      </c>
      <c r="Z67" s="34">
        <f t="shared" ref="Z67:Z130" si="26">IF(Y67=$AP$11,$AO$11,IF(Y67=$AP$12,$AO$12,IF(Y67=$AP$13,$AO$13,0)))</f>
        <v>1</v>
      </c>
      <c r="AA67" s="36">
        <f t="shared" ref="AA67:AA130" si="27">AVERAGE(N67:Q67)</f>
        <v>2.5</v>
      </c>
      <c r="AB67" s="36" t="str">
        <f t="shared" ref="AB67:AB130" si="28">IF(AA67&lt;=$AR$11,$AP$11,IF(AA67&lt;=$AR$12,$AP$12,IF(AA67&lt;=$AR$13,$AP$13,0)))</f>
        <v>Regular</v>
      </c>
      <c r="AC67" s="36">
        <f t="shared" ref="AC67:AC130" si="29">IF(AB67=$AP$11,$AO$11,IF(AB67=$AP$12,$AO$12,IF(AB67=$AP$13,$AO$13,0)))</f>
        <v>2</v>
      </c>
      <c r="AD67" s="37">
        <f t="shared" ref="AD67:AD130" si="30">AVERAGE(B67:Q67)</f>
        <v>2.375</v>
      </c>
      <c r="AE67" s="38" t="str">
        <f t="shared" ref="AE67:AE130" si="31">IF(AD67&lt;=$AR$11,$AP$11,IF(AD67&lt;=$AR$12,$AP$12,IF(AD67&lt;=$AR$13,$AP$13,0)))</f>
        <v>Regular</v>
      </c>
      <c r="AF67" s="38">
        <f t="shared" ref="AF67:AF130" si="32">IF(AE67=$AP$11,$AO$11,IF(AE67=$AP$12,$AO$12,IF(AE67=$AP$13,$AO$13,0)))</f>
        <v>2</v>
      </c>
    </row>
    <row r="68" spans="1:32" x14ac:dyDescent="0.25">
      <c r="A68" t="s">
        <v>82</v>
      </c>
      <c r="B68" s="1">
        <v>3</v>
      </c>
      <c r="C68" s="1">
        <v>3</v>
      </c>
      <c r="D68" s="1">
        <v>5</v>
      </c>
      <c r="E68" s="1">
        <v>4</v>
      </c>
      <c r="F68" s="1">
        <v>5</v>
      </c>
      <c r="G68" s="1">
        <v>5</v>
      </c>
      <c r="H68" s="1">
        <v>5</v>
      </c>
      <c r="I68" s="1">
        <v>5</v>
      </c>
      <c r="J68" s="1">
        <v>4</v>
      </c>
      <c r="K68" s="1">
        <v>4</v>
      </c>
      <c r="L68" s="1">
        <v>5</v>
      </c>
      <c r="M68" s="1">
        <v>4</v>
      </c>
      <c r="N68" s="1">
        <v>5</v>
      </c>
      <c r="O68" s="1">
        <v>3</v>
      </c>
      <c r="P68" s="1">
        <v>5</v>
      </c>
      <c r="Q68" s="1">
        <v>3</v>
      </c>
      <c r="R68" s="27">
        <f t="shared" si="18"/>
        <v>3.75</v>
      </c>
      <c r="S68" s="28" t="str">
        <f t="shared" si="19"/>
        <v>Buena</v>
      </c>
      <c r="T68" s="28">
        <f t="shared" si="20"/>
        <v>3</v>
      </c>
      <c r="U68" s="32">
        <f t="shared" si="21"/>
        <v>5</v>
      </c>
      <c r="V68" s="32" t="str">
        <f t="shared" si="22"/>
        <v>Buena</v>
      </c>
      <c r="W68" s="32">
        <f t="shared" si="23"/>
        <v>3</v>
      </c>
      <c r="X68" s="34">
        <f t="shared" si="24"/>
        <v>4.25</v>
      </c>
      <c r="Y68" s="34" t="str">
        <f t="shared" si="25"/>
        <v>Buena</v>
      </c>
      <c r="Z68" s="34">
        <f t="shared" si="26"/>
        <v>3</v>
      </c>
      <c r="AA68" s="36">
        <f t="shared" si="27"/>
        <v>4</v>
      </c>
      <c r="AB68" s="36" t="str">
        <f t="shared" si="28"/>
        <v>Buena</v>
      </c>
      <c r="AC68" s="36">
        <f t="shared" si="29"/>
        <v>3</v>
      </c>
      <c r="AD68" s="37">
        <f t="shared" si="30"/>
        <v>4.25</v>
      </c>
      <c r="AE68" s="38" t="str">
        <f t="shared" si="31"/>
        <v>Buena</v>
      </c>
      <c r="AF68" s="38">
        <f t="shared" si="32"/>
        <v>3</v>
      </c>
    </row>
    <row r="69" spans="1:32" x14ac:dyDescent="0.25">
      <c r="A69" t="s">
        <v>83</v>
      </c>
      <c r="B69" s="1">
        <v>5</v>
      </c>
      <c r="C69" s="1">
        <v>3</v>
      </c>
      <c r="D69" s="1">
        <v>4</v>
      </c>
      <c r="E69" s="1">
        <v>4</v>
      </c>
      <c r="F69" s="1">
        <v>4</v>
      </c>
      <c r="G69" s="1">
        <v>3</v>
      </c>
      <c r="H69" s="1">
        <v>4</v>
      </c>
      <c r="I69" s="1">
        <v>4</v>
      </c>
      <c r="J69" s="1">
        <v>3</v>
      </c>
      <c r="K69" s="1">
        <v>3</v>
      </c>
      <c r="L69" s="1">
        <v>5</v>
      </c>
      <c r="M69" s="1">
        <v>3</v>
      </c>
      <c r="N69" s="1">
        <v>4</v>
      </c>
      <c r="O69" s="1">
        <v>4</v>
      </c>
      <c r="P69" s="1">
        <v>5</v>
      </c>
      <c r="Q69" s="1">
        <v>3</v>
      </c>
      <c r="R69" s="27">
        <f t="shared" si="18"/>
        <v>4</v>
      </c>
      <c r="S69" s="28" t="str">
        <f t="shared" si="19"/>
        <v>Buena</v>
      </c>
      <c r="T69" s="28">
        <f t="shared" si="20"/>
        <v>3</v>
      </c>
      <c r="U69" s="32">
        <f t="shared" si="21"/>
        <v>3.75</v>
      </c>
      <c r="V69" s="32" t="str">
        <f t="shared" si="22"/>
        <v>Buena</v>
      </c>
      <c r="W69" s="32">
        <f t="shared" si="23"/>
        <v>3</v>
      </c>
      <c r="X69" s="34">
        <f t="shared" si="24"/>
        <v>3.5</v>
      </c>
      <c r="Y69" s="34" t="str">
        <f t="shared" si="25"/>
        <v>Regular</v>
      </c>
      <c r="Z69" s="34">
        <f t="shared" si="26"/>
        <v>2</v>
      </c>
      <c r="AA69" s="36">
        <f t="shared" si="27"/>
        <v>4</v>
      </c>
      <c r="AB69" s="36" t="str">
        <f t="shared" si="28"/>
        <v>Buena</v>
      </c>
      <c r="AC69" s="36">
        <f t="shared" si="29"/>
        <v>3</v>
      </c>
      <c r="AD69" s="37">
        <f t="shared" si="30"/>
        <v>3.8125</v>
      </c>
      <c r="AE69" s="38" t="str">
        <f t="shared" si="31"/>
        <v>Buena</v>
      </c>
      <c r="AF69" s="38">
        <f t="shared" si="32"/>
        <v>3</v>
      </c>
    </row>
    <row r="70" spans="1:32" x14ac:dyDescent="0.25">
      <c r="A70" t="s">
        <v>84</v>
      </c>
      <c r="B70" s="1">
        <v>3</v>
      </c>
      <c r="C70" s="1">
        <v>3</v>
      </c>
      <c r="D70" s="1">
        <v>3</v>
      </c>
      <c r="E70" s="1">
        <v>2</v>
      </c>
      <c r="F70" s="1">
        <v>2</v>
      </c>
      <c r="G70" s="1">
        <v>3</v>
      </c>
      <c r="H70" s="1">
        <v>3</v>
      </c>
      <c r="I70" s="1">
        <v>3</v>
      </c>
      <c r="J70" s="1">
        <v>3</v>
      </c>
      <c r="K70" s="1">
        <v>2</v>
      </c>
      <c r="L70" s="1">
        <v>2</v>
      </c>
      <c r="M70" s="1">
        <v>3</v>
      </c>
      <c r="N70" s="1">
        <v>3</v>
      </c>
      <c r="O70" s="1">
        <v>3</v>
      </c>
      <c r="P70" s="1">
        <v>3</v>
      </c>
      <c r="Q70" s="1">
        <v>2</v>
      </c>
      <c r="R70" s="27">
        <f t="shared" si="18"/>
        <v>2.75</v>
      </c>
      <c r="S70" s="28" t="str">
        <f t="shared" si="19"/>
        <v>Regular</v>
      </c>
      <c r="T70" s="28">
        <f t="shared" si="20"/>
        <v>2</v>
      </c>
      <c r="U70" s="32">
        <f t="shared" si="21"/>
        <v>2.75</v>
      </c>
      <c r="V70" s="32" t="str">
        <f t="shared" si="22"/>
        <v>Regular</v>
      </c>
      <c r="W70" s="32">
        <f t="shared" si="23"/>
        <v>2</v>
      </c>
      <c r="X70" s="34">
        <f t="shared" si="24"/>
        <v>2.5</v>
      </c>
      <c r="Y70" s="34" t="str">
        <f t="shared" si="25"/>
        <v>Regular</v>
      </c>
      <c r="Z70" s="34">
        <f t="shared" si="26"/>
        <v>2</v>
      </c>
      <c r="AA70" s="36">
        <f t="shared" si="27"/>
        <v>2.75</v>
      </c>
      <c r="AB70" s="36" t="str">
        <f t="shared" si="28"/>
        <v>Regular</v>
      </c>
      <c r="AC70" s="36">
        <f t="shared" si="29"/>
        <v>2</v>
      </c>
      <c r="AD70" s="37">
        <f t="shared" si="30"/>
        <v>2.6875</v>
      </c>
      <c r="AE70" s="38" t="str">
        <f t="shared" si="31"/>
        <v>Regular</v>
      </c>
      <c r="AF70" s="38">
        <f t="shared" si="32"/>
        <v>2</v>
      </c>
    </row>
    <row r="71" spans="1:32" x14ac:dyDescent="0.25">
      <c r="A71" t="s">
        <v>85</v>
      </c>
      <c r="B71" s="1">
        <v>5</v>
      </c>
      <c r="C71" s="1">
        <v>4</v>
      </c>
      <c r="D71" s="1">
        <v>5</v>
      </c>
      <c r="E71" s="1">
        <v>5</v>
      </c>
      <c r="F71" s="1">
        <v>5</v>
      </c>
      <c r="G71" s="1">
        <v>5</v>
      </c>
      <c r="H71" s="1">
        <v>4</v>
      </c>
      <c r="I71" s="1">
        <v>4</v>
      </c>
      <c r="J71" s="1">
        <v>3</v>
      </c>
      <c r="K71" s="1">
        <v>5</v>
      </c>
      <c r="L71" s="1">
        <v>5</v>
      </c>
      <c r="M71" s="1">
        <v>5</v>
      </c>
      <c r="N71" s="1">
        <v>4</v>
      </c>
      <c r="O71" s="1">
        <v>4</v>
      </c>
      <c r="P71" s="1">
        <v>5</v>
      </c>
      <c r="Q71" s="1">
        <v>5</v>
      </c>
      <c r="R71" s="27">
        <f t="shared" si="18"/>
        <v>4.75</v>
      </c>
      <c r="S71" s="28" t="str">
        <f t="shared" si="19"/>
        <v>Buena</v>
      </c>
      <c r="T71" s="28">
        <f t="shared" si="20"/>
        <v>3</v>
      </c>
      <c r="U71" s="32">
        <f t="shared" si="21"/>
        <v>4.5</v>
      </c>
      <c r="V71" s="32" t="str">
        <f t="shared" si="22"/>
        <v>Buena</v>
      </c>
      <c r="W71" s="32">
        <f t="shared" si="23"/>
        <v>3</v>
      </c>
      <c r="X71" s="34">
        <f t="shared" si="24"/>
        <v>4.5</v>
      </c>
      <c r="Y71" s="34" t="str">
        <f t="shared" si="25"/>
        <v>Buena</v>
      </c>
      <c r="Z71" s="34">
        <f t="shared" si="26"/>
        <v>3</v>
      </c>
      <c r="AA71" s="36">
        <f t="shared" si="27"/>
        <v>4.5</v>
      </c>
      <c r="AB71" s="36" t="str">
        <f t="shared" si="28"/>
        <v>Buena</v>
      </c>
      <c r="AC71" s="36">
        <f t="shared" si="29"/>
        <v>3</v>
      </c>
      <c r="AD71" s="37">
        <f t="shared" si="30"/>
        <v>4.5625</v>
      </c>
      <c r="AE71" s="38" t="str">
        <f t="shared" si="31"/>
        <v>Buena</v>
      </c>
      <c r="AF71" s="38">
        <f t="shared" si="32"/>
        <v>3</v>
      </c>
    </row>
    <row r="72" spans="1:32" x14ac:dyDescent="0.25">
      <c r="A72" t="s">
        <v>86</v>
      </c>
      <c r="B72" s="1">
        <v>4</v>
      </c>
      <c r="C72" s="1">
        <v>3</v>
      </c>
      <c r="D72" s="1">
        <v>3</v>
      </c>
      <c r="E72" s="1">
        <v>4</v>
      </c>
      <c r="F72" s="1">
        <v>2</v>
      </c>
      <c r="G72" s="1">
        <v>2</v>
      </c>
      <c r="H72" s="1">
        <v>2</v>
      </c>
      <c r="I72" s="1">
        <v>2</v>
      </c>
      <c r="J72" s="1">
        <v>2</v>
      </c>
      <c r="K72" s="1">
        <v>2</v>
      </c>
      <c r="L72" s="1">
        <v>2</v>
      </c>
      <c r="M72" s="1">
        <v>3</v>
      </c>
      <c r="N72" s="1">
        <v>3</v>
      </c>
      <c r="O72" s="1">
        <v>2</v>
      </c>
      <c r="P72" s="1">
        <v>3</v>
      </c>
      <c r="Q72" s="1">
        <v>2</v>
      </c>
      <c r="R72" s="27">
        <f t="shared" si="18"/>
        <v>3.5</v>
      </c>
      <c r="S72" s="28" t="str">
        <f t="shared" si="19"/>
        <v>Regular</v>
      </c>
      <c r="T72" s="28">
        <f t="shared" si="20"/>
        <v>2</v>
      </c>
      <c r="U72" s="32">
        <f t="shared" si="21"/>
        <v>2</v>
      </c>
      <c r="V72" s="32" t="str">
        <f t="shared" si="22"/>
        <v>Mala</v>
      </c>
      <c r="W72" s="32">
        <f t="shared" si="23"/>
        <v>1</v>
      </c>
      <c r="X72" s="34">
        <f t="shared" si="24"/>
        <v>2.25</v>
      </c>
      <c r="Y72" s="34" t="str">
        <f t="shared" si="25"/>
        <v>Mala</v>
      </c>
      <c r="Z72" s="34">
        <f t="shared" si="26"/>
        <v>1</v>
      </c>
      <c r="AA72" s="36">
        <f t="shared" si="27"/>
        <v>2.5</v>
      </c>
      <c r="AB72" s="36" t="str">
        <f t="shared" si="28"/>
        <v>Regular</v>
      </c>
      <c r="AC72" s="36">
        <f t="shared" si="29"/>
        <v>2</v>
      </c>
      <c r="AD72" s="37">
        <f t="shared" si="30"/>
        <v>2.5625</v>
      </c>
      <c r="AE72" s="38" t="str">
        <f t="shared" si="31"/>
        <v>Regular</v>
      </c>
      <c r="AF72" s="38">
        <f t="shared" si="32"/>
        <v>2</v>
      </c>
    </row>
    <row r="73" spans="1:32" x14ac:dyDescent="0.25">
      <c r="A73" t="s">
        <v>87</v>
      </c>
      <c r="B73" s="1">
        <v>3</v>
      </c>
      <c r="C73" s="1">
        <v>3</v>
      </c>
      <c r="D73" s="1">
        <v>3</v>
      </c>
      <c r="E73" s="1">
        <v>3</v>
      </c>
      <c r="F73" s="1">
        <v>3</v>
      </c>
      <c r="G73" s="1">
        <v>3</v>
      </c>
      <c r="H73" s="1">
        <v>4</v>
      </c>
      <c r="I73" s="1">
        <v>4</v>
      </c>
      <c r="J73" s="1">
        <v>3</v>
      </c>
      <c r="K73" s="1">
        <v>4</v>
      </c>
      <c r="L73" s="1">
        <v>2</v>
      </c>
      <c r="M73" s="1">
        <v>4</v>
      </c>
      <c r="N73" s="1">
        <v>4</v>
      </c>
      <c r="O73" s="1">
        <v>4</v>
      </c>
      <c r="P73" s="1">
        <v>4</v>
      </c>
      <c r="Q73" s="1">
        <v>3</v>
      </c>
      <c r="R73" s="27">
        <f t="shared" si="18"/>
        <v>3</v>
      </c>
      <c r="S73" s="28" t="str">
        <f t="shared" si="19"/>
        <v>Regular</v>
      </c>
      <c r="T73" s="28">
        <f t="shared" si="20"/>
        <v>2</v>
      </c>
      <c r="U73" s="32">
        <f t="shared" si="21"/>
        <v>3.5</v>
      </c>
      <c r="V73" s="32" t="str">
        <f t="shared" si="22"/>
        <v>Regular</v>
      </c>
      <c r="W73" s="32">
        <f t="shared" si="23"/>
        <v>2</v>
      </c>
      <c r="X73" s="34">
        <f t="shared" si="24"/>
        <v>3.25</v>
      </c>
      <c r="Y73" s="34" t="str">
        <f t="shared" si="25"/>
        <v>Regular</v>
      </c>
      <c r="Z73" s="34">
        <f t="shared" si="26"/>
        <v>2</v>
      </c>
      <c r="AA73" s="36">
        <f t="shared" si="27"/>
        <v>3.75</v>
      </c>
      <c r="AB73" s="36" t="str">
        <f t="shared" si="28"/>
        <v>Buena</v>
      </c>
      <c r="AC73" s="36">
        <f t="shared" si="29"/>
        <v>3</v>
      </c>
      <c r="AD73" s="37">
        <f t="shared" si="30"/>
        <v>3.375</v>
      </c>
      <c r="AE73" s="38" t="str">
        <f t="shared" si="31"/>
        <v>Regular</v>
      </c>
      <c r="AF73" s="38">
        <f t="shared" si="32"/>
        <v>2</v>
      </c>
    </row>
    <row r="74" spans="1:32" x14ac:dyDescent="0.25">
      <c r="A74" t="s">
        <v>88</v>
      </c>
      <c r="B74" s="1">
        <v>5</v>
      </c>
      <c r="C74" s="1">
        <v>3</v>
      </c>
      <c r="D74" s="1">
        <v>4</v>
      </c>
      <c r="E74" s="1">
        <v>5</v>
      </c>
      <c r="F74" s="1">
        <v>5</v>
      </c>
      <c r="G74" s="1">
        <v>5</v>
      </c>
      <c r="H74" s="1">
        <v>4</v>
      </c>
      <c r="I74" s="1">
        <v>4</v>
      </c>
      <c r="J74" s="1">
        <v>4</v>
      </c>
      <c r="K74" s="1">
        <v>5</v>
      </c>
      <c r="L74" s="1">
        <v>5</v>
      </c>
      <c r="M74" s="1">
        <v>5</v>
      </c>
      <c r="N74" s="1">
        <v>5</v>
      </c>
      <c r="O74" s="1">
        <v>5</v>
      </c>
      <c r="P74" s="1">
        <v>5</v>
      </c>
      <c r="Q74" s="1">
        <v>3</v>
      </c>
      <c r="R74" s="27">
        <f t="shared" si="18"/>
        <v>4.25</v>
      </c>
      <c r="S74" s="28" t="str">
        <f t="shared" si="19"/>
        <v>Buena</v>
      </c>
      <c r="T74" s="28">
        <f t="shared" si="20"/>
        <v>3</v>
      </c>
      <c r="U74" s="32">
        <f t="shared" si="21"/>
        <v>4.5</v>
      </c>
      <c r="V74" s="32" t="str">
        <f t="shared" si="22"/>
        <v>Buena</v>
      </c>
      <c r="W74" s="32">
        <f t="shared" si="23"/>
        <v>3</v>
      </c>
      <c r="X74" s="34">
        <f t="shared" si="24"/>
        <v>4.75</v>
      </c>
      <c r="Y74" s="34" t="str">
        <f t="shared" si="25"/>
        <v>Buena</v>
      </c>
      <c r="Z74" s="34">
        <f t="shared" si="26"/>
        <v>3</v>
      </c>
      <c r="AA74" s="36">
        <f t="shared" si="27"/>
        <v>4.5</v>
      </c>
      <c r="AB74" s="36" t="str">
        <f t="shared" si="28"/>
        <v>Buena</v>
      </c>
      <c r="AC74" s="36">
        <f t="shared" si="29"/>
        <v>3</v>
      </c>
      <c r="AD74" s="37">
        <f t="shared" si="30"/>
        <v>4.5</v>
      </c>
      <c r="AE74" s="38" t="str">
        <f t="shared" si="31"/>
        <v>Buena</v>
      </c>
      <c r="AF74" s="38">
        <f t="shared" si="32"/>
        <v>3</v>
      </c>
    </row>
    <row r="75" spans="1:32" x14ac:dyDescent="0.25">
      <c r="A75" t="s">
        <v>89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27">
        <f t="shared" si="18"/>
        <v>1</v>
      </c>
      <c r="S75" s="28" t="str">
        <f t="shared" si="19"/>
        <v>Mala</v>
      </c>
      <c r="T75" s="28">
        <f t="shared" si="20"/>
        <v>1</v>
      </c>
      <c r="U75" s="32">
        <f t="shared" si="21"/>
        <v>1</v>
      </c>
      <c r="V75" s="32" t="str">
        <f t="shared" si="22"/>
        <v>Mala</v>
      </c>
      <c r="W75" s="32">
        <f t="shared" si="23"/>
        <v>1</v>
      </c>
      <c r="X75" s="34">
        <f t="shared" si="24"/>
        <v>1</v>
      </c>
      <c r="Y75" s="34" t="str">
        <f t="shared" si="25"/>
        <v>Mala</v>
      </c>
      <c r="Z75" s="34">
        <f t="shared" si="26"/>
        <v>1</v>
      </c>
      <c r="AA75" s="36">
        <f t="shared" si="27"/>
        <v>1</v>
      </c>
      <c r="AB75" s="36" t="str">
        <f t="shared" si="28"/>
        <v>Mala</v>
      </c>
      <c r="AC75" s="36">
        <f t="shared" si="29"/>
        <v>1</v>
      </c>
      <c r="AD75" s="37">
        <f t="shared" si="30"/>
        <v>1</v>
      </c>
      <c r="AE75" s="38" t="str">
        <f t="shared" si="31"/>
        <v>Mala</v>
      </c>
      <c r="AF75" s="38">
        <f t="shared" si="32"/>
        <v>1</v>
      </c>
    </row>
    <row r="76" spans="1:32" x14ac:dyDescent="0.25">
      <c r="A76" t="s">
        <v>90</v>
      </c>
      <c r="B76" s="1">
        <v>4</v>
      </c>
      <c r="C76" s="1">
        <v>2</v>
      </c>
      <c r="D76" s="1">
        <v>3</v>
      </c>
      <c r="E76" s="1">
        <v>3</v>
      </c>
      <c r="F76" s="1">
        <v>3</v>
      </c>
      <c r="G76" s="1">
        <v>4</v>
      </c>
      <c r="H76" s="1">
        <v>4</v>
      </c>
      <c r="I76" s="1">
        <v>4</v>
      </c>
      <c r="J76" s="1">
        <v>4</v>
      </c>
      <c r="K76" s="1">
        <v>4</v>
      </c>
      <c r="L76" s="1">
        <v>3</v>
      </c>
      <c r="M76" s="1">
        <v>2</v>
      </c>
      <c r="N76" s="1">
        <v>4</v>
      </c>
      <c r="O76" s="1">
        <v>3</v>
      </c>
      <c r="P76" s="1">
        <v>3</v>
      </c>
      <c r="Q76" s="1">
        <v>3</v>
      </c>
      <c r="R76" s="27">
        <f t="shared" si="18"/>
        <v>3</v>
      </c>
      <c r="S76" s="28" t="str">
        <f t="shared" si="19"/>
        <v>Regular</v>
      </c>
      <c r="T76" s="28">
        <f t="shared" si="20"/>
        <v>2</v>
      </c>
      <c r="U76" s="32">
        <f t="shared" si="21"/>
        <v>3.75</v>
      </c>
      <c r="V76" s="32" t="str">
        <f t="shared" si="22"/>
        <v>Buena</v>
      </c>
      <c r="W76" s="32">
        <f t="shared" si="23"/>
        <v>3</v>
      </c>
      <c r="X76" s="34">
        <f t="shared" si="24"/>
        <v>3.25</v>
      </c>
      <c r="Y76" s="34" t="str">
        <f t="shared" si="25"/>
        <v>Regular</v>
      </c>
      <c r="Z76" s="34">
        <f t="shared" si="26"/>
        <v>2</v>
      </c>
      <c r="AA76" s="36">
        <f t="shared" si="27"/>
        <v>3.25</v>
      </c>
      <c r="AB76" s="36" t="str">
        <f t="shared" si="28"/>
        <v>Regular</v>
      </c>
      <c r="AC76" s="36">
        <f t="shared" si="29"/>
        <v>2</v>
      </c>
      <c r="AD76" s="37">
        <f t="shared" si="30"/>
        <v>3.3125</v>
      </c>
      <c r="AE76" s="38" t="str">
        <f t="shared" si="31"/>
        <v>Regular</v>
      </c>
      <c r="AF76" s="38">
        <f t="shared" si="32"/>
        <v>2</v>
      </c>
    </row>
    <row r="77" spans="1:32" x14ac:dyDescent="0.25">
      <c r="A77" t="s">
        <v>91</v>
      </c>
      <c r="B77" s="1">
        <v>5</v>
      </c>
      <c r="C77" s="1">
        <v>4</v>
      </c>
      <c r="D77" s="1">
        <v>5</v>
      </c>
      <c r="E77" s="1">
        <v>5</v>
      </c>
      <c r="F77" s="1">
        <v>5</v>
      </c>
      <c r="G77" s="1">
        <v>5</v>
      </c>
      <c r="H77" s="1">
        <v>4</v>
      </c>
      <c r="I77" s="1">
        <v>5</v>
      </c>
      <c r="J77" s="1">
        <v>4</v>
      </c>
      <c r="K77" s="1">
        <v>5</v>
      </c>
      <c r="L77" s="1">
        <v>4</v>
      </c>
      <c r="M77" s="1">
        <v>4</v>
      </c>
      <c r="N77" s="1">
        <v>4</v>
      </c>
      <c r="O77" s="1">
        <v>5</v>
      </c>
      <c r="P77" s="1">
        <v>4</v>
      </c>
      <c r="Q77" s="1">
        <v>5</v>
      </c>
      <c r="R77" s="27">
        <f t="shared" si="18"/>
        <v>4.75</v>
      </c>
      <c r="S77" s="28" t="str">
        <f t="shared" si="19"/>
        <v>Buena</v>
      </c>
      <c r="T77" s="28">
        <f t="shared" si="20"/>
        <v>3</v>
      </c>
      <c r="U77" s="32">
        <f t="shared" si="21"/>
        <v>4.75</v>
      </c>
      <c r="V77" s="32" t="str">
        <f t="shared" si="22"/>
        <v>Buena</v>
      </c>
      <c r="W77" s="32">
        <f t="shared" si="23"/>
        <v>3</v>
      </c>
      <c r="X77" s="34">
        <f t="shared" si="24"/>
        <v>4.25</v>
      </c>
      <c r="Y77" s="34" t="str">
        <f t="shared" si="25"/>
        <v>Buena</v>
      </c>
      <c r="Z77" s="34">
        <f t="shared" si="26"/>
        <v>3</v>
      </c>
      <c r="AA77" s="36">
        <f t="shared" si="27"/>
        <v>4.5</v>
      </c>
      <c r="AB77" s="36" t="str">
        <f t="shared" si="28"/>
        <v>Buena</v>
      </c>
      <c r="AC77" s="36">
        <f t="shared" si="29"/>
        <v>3</v>
      </c>
      <c r="AD77" s="37">
        <f t="shared" si="30"/>
        <v>4.5625</v>
      </c>
      <c r="AE77" s="38" t="str">
        <f t="shared" si="31"/>
        <v>Buena</v>
      </c>
      <c r="AF77" s="38">
        <f t="shared" si="32"/>
        <v>3</v>
      </c>
    </row>
    <row r="78" spans="1:32" x14ac:dyDescent="0.25">
      <c r="A78" t="s">
        <v>92</v>
      </c>
      <c r="B78" s="1">
        <v>5</v>
      </c>
      <c r="C78" s="1">
        <v>4</v>
      </c>
      <c r="D78" s="1">
        <v>5</v>
      </c>
      <c r="E78" s="1">
        <v>5</v>
      </c>
      <c r="F78" s="1">
        <v>3</v>
      </c>
      <c r="G78" s="1">
        <v>5</v>
      </c>
      <c r="H78" s="1">
        <v>5</v>
      </c>
      <c r="I78" s="1">
        <v>4</v>
      </c>
      <c r="J78" s="1">
        <v>5</v>
      </c>
      <c r="K78" s="1">
        <v>4</v>
      </c>
      <c r="L78" s="1">
        <v>5</v>
      </c>
      <c r="M78" s="1">
        <v>5</v>
      </c>
      <c r="N78" s="1">
        <v>4</v>
      </c>
      <c r="O78" s="1">
        <v>5</v>
      </c>
      <c r="P78" s="1">
        <v>4</v>
      </c>
      <c r="Q78" s="1">
        <v>5</v>
      </c>
      <c r="R78" s="27">
        <f t="shared" si="18"/>
        <v>4.75</v>
      </c>
      <c r="S78" s="28" t="str">
        <f t="shared" si="19"/>
        <v>Buena</v>
      </c>
      <c r="T78" s="28">
        <f t="shared" si="20"/>
        <v>3</v>
      </c>
      <c r="U78" s="32">
        <f t="shared" si="21"/>
        <v>4.25</v>
      </c>
      <c r="V78" s="32" t="str">
        <f t="shared" si="22"/>
        <v>Buena</v>
      </c>
      <c r="W78" s="32">
        <f t="shared" si="23"/>
        <v>3</v>
      </c>
      <c r="X78" s="34">
        <f t="shared" si="24"/>
        <v>4.75</v>
      </c>
      <c r="Y78" s="34" t="str">
        <f t="shared" si="25"/>
        <v>Buena</v>
      </c>
      <c r="Z78" s="34">
        <f t="shared" si="26"/>
        <v>3</v>
      </c>
      <c r="AA78" s="36">
        <f t="shared" si="27"/>
        <v>4.5</v>
      </c>
      <c r="AB78" s="36" t="str">
        <f t="shared" si="28"/>
        <v>Buena</v>
      </c>
      <c r="AC78" s="36">
        <f t="shared" si="29"/>
        <v>3</v>
      </c>
      <c r="AD78" s="37">
        <f t="shared" si="30"/>
        <v>4.5625</v>
      </c>
      <c r="AE78" s="38" t="str">
        <f t="shared" si="31"/>
        <v>Buena</v>
      </c>
      <c r="AF78" s="38">
        <f t="shared" si="32"/>
        <v>3</v>
      </c>
    </row>
    <row r="79" spans="1:32" x14ac:dyDescent="0.25">
      <c r="A79" t="s">
        <v>93</v>
      </c>
      <c r="B79" s="1">
        <v>1</v>
      </c>
      <c r="C79" s="1">
        <v>1</v>
      </c>
      <c r="D79" s="1">
        <v>2</v>
      </c>
      <c r="E79" s="1">
        <v>1</v>
      </c>
      <c r="F79" s="1">
        <v>1</v>
      </c>
      <c r="G79" s="1">
        <v>1</v>
      </c>
      <c r="H79" s="1">
        <v>2</v>
      </c>
      <c r="I79" s="1">
        <v>2</v>
      </c>
      <c r="J79" s="1">
        <v>1</v>
      </c>
      <c r="K79" s="1">
        <v>1</v>
      </c>
      <c r="L79" s="1">
        <v>1</v>
      </c>
      <c r="M79" s="1">
        <v>2</v>
      </c>
      <c r="N79" s="1">
        <v>2</v>
      </c>
      <c r="O79" s="1">
        <v>1</v>
      </c>
      <c r="P79" s="1">
        <v>2</v>
      </c>
      <c r="Q79" s="1">
        <v>1</v>
      </c>
      <c r="R79" s="27">
        <f t="shared" si="18"/>
        <v>1.25</v>
      </c>
      <c r="S79" s="28" t="str">
        <f t="shared" si="19"/>
        <v>Mala</v>
      </c>
      <c r="T79" s="28">
        <f t="shared" si="20"/>
        <v>1</v>
      </c>
      <c r="U79" s="32">
        <f t="shared" si="21"/>
        <v>1.5</v>
      </c>
      <c r="V79" s="32" t="str">
        <f t="shared" si="22"/>
        <v>Mala</v>
      </c>
      <c r="W79" s="32">
        <f t="shared" si="23"/>
        <v>1</v>
      </c>
      <c r="X79" s="34">
        <f t="shared" si="24"/>
        <v>1.25</v>
      </c>
      <c r="Y79" s="34" t="str">
        <f t="shared" si="25"/>
        <v>Mala</v>
      </c>
      <c r="Z79" s="34">
        <f t="shared" si="26"/>
        <v>1</v>
      </c>
      <c r="AA79" s="36">
        <f t="shared" si="27"/>
        <v>1.5</v>
      </c>
      <c r="AB79" s="36" t="str">
        <f t="shared" si="28"/>
        <v>Mala</v>
      </c>
      <c r="AC79" s="36">
        <f t="shared" si="29"/>
        <v>1</v>
      </c>
      <c r="AD79" s="37">
        <f t="shared" si="30"/>
        <v>1.375</v>
      </c>
      <c r="AE79" s="38" t="str">
        <f t="shared" si="31"/>
        <v>Mala</v>
      </c>
      <c r="AF79" s="38">
        <f t="shared" si="32"/>
        <v>1</v>
      </c>
    </row>
    <row r="80" spans="1:32" x14ac:dyDescent="0.25">
      <c r="A80" t="s">
        <v>94</v>
      </c>
      <c r="B80" s="1">
        <v>3</v>
      </c>
      <c r="C80" s="1">
        <v>3</v>
      </c>
      <c r="D80" s="1">
        <v>2</v>
      </c>
      <c r="E80" s="1">
        <v>3</v>
      </c>
      <c r="F80" s="1">
        <v>3</v>
      </c>
      <c r="G80" s="1">
        <v>3</v>
      </c>
      <c r="H80" s="1">
        <v>2</v>
      </c>
      <c r="I80" s="1">
        <v>3</v>
      </c>
      <c r="J80" s="1">
        <v>3</v>
      </c>
      <c r="K80" s="1">
        <v>3</v>
      </c>
      <c r="L80" s="1">
        <v>4</v>
      </c>
      <c r="M80" s="1">
        <v>4</v>
      </c>
      <c r="N80" s="1">
        <v>3</v>
      </c>
      <c r="O80" s="1">
        <v>3</v>
      </c>
      <c r="P80" s="1">
        <v>4</v>
      </c>
      <c r="Q80" s="1">
        <v>3</v>
      </c>
      <c r="R80" s="27">
        <f t="shared" si="18"/>
        <v>2.75</v>
      </c>
      <c r="S80" s="28" t="str">
        <f t="shared" si="19"/>
        <v>Regular</v>
      </c>
      <c r="T80" s="28">
        <f t="shared" si="20"/>
        <v>2</v>
      </c>
      <c r="U80" s="32">
        <f t="shared" si="21"/>
        <v>2.75</v>
      </c>
      <c r="V80" s="32" t="str">
        <f t="shared" si="22"/>
        <v>Regular</v>
      </c>
      <c r="W80" s="32">
        <f t="shared" si="23"/>
        <v>2</v>
      </c>
      <c r="X80" s="34">
        <f t="shared" si="24"/>
        <v>3.5</v>
      </c>
      <c r="Y80" s="34" t="str">
        <f t="shared" si="25"/>
        <v>Regular</v>
      </c>
      <c r="Z80" s="34">
        <f t="shared" si="26"/>
        <v>2</v>
      </c>
      <c r="AA80" s="36">
        <f t="shared" si="27"/>
        <v>3.25</v>
      </c>
      <c r="AB80" s="36" t="str">
        <f t="shared" si="28"/>
        <v>Regular</v>
      </c>
      <c r="AC80" s="36">
        <f t="shared" si="29"/>
        <v>2</v>
      </c>
      <c r="AD80" s="37">
        <f t="shared" si="30"/>
        <v>3.0625</v>
      </c>
      <c r="AE80" s="38" t="str">
        <f t="shared" si="31"/>
        <v>Regular</v>
      </c>
      <c r="AF80" s="38">
        <f t="shared" si="32"/>
        <v>2</v>
      </c>
    </row>
    <row r="81" spans="1:32" x14ac:dyDescent="0.25">
      <c r="A81" t="s">
        <v>95</v>
      </c>
      <c r="B81" s="1">
        <v>4</v>
      </c>
      <c r="C81" s="1">
        <v>2</v>
      </c>
      <c r="D81" s="1">
        <v>4</v>
      </c>
      <c r="E81" s="1">
        <v>3</v>
      </c>
      <c r="F81" s="1">
        <v>3</v>
      </c>
      <c r="G81" s="1">
        <v>4</v>
      </c>
      <c r="H81" s="1">
        <v>4</v>
      </c>
      <c r="I81" s="1">
        <v>3</v>
      </c>
      <c r="J81" s="1">
        <v>3</v>
      </c>
      <c r="K81" s="1">
        <v>2</v>
      </c>
      <c r="L81" s="1">
        <v>3</v>
      </c>
      <c r="M81" s="1">
        <v>3</v>
      </c>
      <c r="N81" s="1">
        <v>2</v>
      </c>
      <c r="O81" s="1">
        <v>3</v>
      </c>
      <c r="P81" s="1">
        <v>4</v>
      </c>
      <c r="Q81" s="1">
        <v>3</v>
      </c>
      <c r="R81" s="27">
        <f t="shared" si="18"/>
        <v>3.25</v>
      </c>
      <c r="S81" s="28" t="str">
        <f t="shared" si="19"/>
        <v>Regular</v>
      </c>
      <c r="T81" s="28">
        <f t="shared" si="20"/>
        <v>2</v>
      </c>
      <c r="U81" s="32">
        <f t="shared" si="21"/>
        <v>3.5</v>
      </c>
      <c r="V81" s="32" t="str">
        <f t="shared" si="22"/>
        <v>Regular</v>
      </c>
      <c r="W81" s="32">
        <f t="shared" si="23"/>
        <v>2</v>
      </c>
      <c r="X81" s="34">
        <f t="shared" si="24"/>
        <v>2.75</v>
      </c>
      <c r="Y81" s="34" t="str">
        <f t="shared" si="25"/>
        <v>Regular</v>
      </c>
      <c r="Z81" s="34">
        <f t="shared" si="26"/>
        <v>2</v>
      </c>
      <c r="AA81" s="36">
        <f t="shared" si="27"/>
        <v>3</v>
      </c>
      <c r="AB81" s="36" t="str">
        <f t="shared" si="28"/>
        <v>Regular</v>
      </c>
      <c r="AC81" s="36">
        <f t="shared" si="29"/>
        <v>2</v>
      </c>
      <c r="AD81" s="37">
        <f t="shared" si="30"/>
        <v>3.125</v>
      </c>
      <c r="AE81" s="38" t="str">
        <f t="shared" si="31"/>
        <v>Regular</v>
      </c>
      <c r="AF81" s="38">
        <f t="shared" si="32"/>
        <v>2</v>
      </c>
    </row>
    <row r="82" spans="1:32" x14ac:dyDescent="0.25">
      <c r="A82" t="s">
        <v>96</v>
      </c>
      <c r="B82" s="1">
        <v>5</v>
      </c>
      <c r="C82" s="1">
        <v>4</v>
      </c>
      <c r="D82" s="1">
        <v>3</v>
      </c>
      <c r="E82" s="1">
        <v>4</v>
      </c>
      <c r="F82" s="1">
        <v>5</v>
      </c>
      <c r="G82" s="1">
        <v>5</v>
      </c>
      <c r="H82" s="1">
        <v>3</v>
      </c>
      <c r="I82" s="1">
        <v>5</v>
      </c>
      <c r="J82" s="1">
        <v>3</v>
      </c>
      <c r="K82" s="1">
        <v>3</v>
      </c>
      <c r="L82" s="1">
        <v>4</v>
      </c>
      <c r="M82" s="1">
        <v>4</v>
      </c>
      <c r="N82" s="1">
        <v>5</v>
      </c>
      <c r="O82" s="1">
        <v>5</v>
      </c>
      <c r="P82" s="1">
        <v>5</v>
      </c>
      <c r="Q82" s="1">
        <v>4</v>
      </c>
      <c r="R82" s="27">
        <f t="shared" si="18"/>
        <v>4</v>
      </c>
      <c r="S82" s="28" t="str">
        <f t="shared" si="19"/>
        <v>Buena</v>
      </c>
      <c r="T82" s="28">
        <f t="shared" si="20"/>
        <v>3</v>
      </c>
      <c r="U82" s="32">
        <f t="shared" si="21"/>
        <v>4.5</v>
      </c>
      <c r="V82" s="32" t="str">
        <f t="shared" si="22"/>
        <v>Buena</v>
      </c>
      <c r="W82" s="32">
        <f t="shared" si="23"/>
        <v>3</v>
      </c>
      <c r="X82" s="34">
        <f t="shared" si="24"/>
        <v>3.5</v>
      </c>
      <c r="Y82" s="34" t="str">
        <f t="shared" si="25"/>
        <v>Regular</v>
      </c>
      <c r="Z82" s="34">
        <f t="shared" si="26"/>
        <v>2</v>
      </c>
      <c r="AA82" s="36">
        <f t="shared" si="27"/>
        <v>4.75</v>
      </c>
      <c r="AB82" s="36" t="str">
        <f t="shared" si="28"/>
        <v>Buena</v>
      </c>
      <c r="AC82" s="36">
        <f t="shared" si="29"/>
        <v>3</v>
      </c>
      <c r="AD82" s="37">
        <f t="shared" si="30"/>
        <v>4.1875</v>
      </c>
      <c r="AE82" s="38" t="str">
        <f t="shared" si="31"/>
        <v>Buena</v>
      </c>
      <c r="AF82" s="38">
        <f t="shared" si="32"/>
        <v>3</v>
      </c>
    </row>
    <row r="83" spans="1:32" x14ac:dyDescent="0.25">
      <c r="A83" t="s">
        <v>97</v>
      </c>
      <c r="B83" s="1">
        <v>4</v>
      </c>
      <c r="C83" s="1">
        <v>3</v>
      </c>
      <c r="D83" s="1">
        <v>5</v>
      </c>
      <c r="E83" s="1">
        <v>4</v>
      </c>
      <c r="F83" s="1">
        <v>4</v>
      </c>
      <c r="G83" s="1">
        <v>5</v>
      </c>
      <c r="H83" s="1">
        <v>5</v>
      </c>
      <c r="I83" s="1">
        <v>5</v>
      </c>
      <c r="J83" s="1">
        <v>5</v>
      </c>
      <c r="K83" s="1">
        <v>3</v>
      </c>
      <c r="L83" s="1">
        <v>5</v>
      </c>
      <c r="M83" s="1">
        <v>4</v>
      </c>
      <c r="N83" s="1">
        <v>3</v>
      </c>
      <c r="O83" s="1">
        <v>5</v>
      </c>
      <c r="P83" s="1">
        <v>3</v>
      </c>
      <c r="Q83" s="1">
        <v>5</v>
      </c>
      <c r="R83" s="27">
        <f t="shared" si="18"/>
        <v>4</v>
      </c>
      <c r="S83" s="28" t="str">
        <f t="shared" si="19"/>
        <v>Buena</v>
      </c>
      <c r="T83" s="28">
        <f t="shared" si="20"/>
        <v>3</v>
      </c>
      <c r="U83" s="32">
        <f t="shared" si="21"/>
        <v>4.75</v>
      </c>
      <c r="V83" s="32" t="str">
        <f t="shared" si="22"/>
        <v>Buena</v>
      </c>
      <c r="W83" s="32">
        <f t="shared" si="23"/>
        <v>3</v>
      </c>
      <c r="X83" s="34">
        <f t="shared" si="24"/>
        <v>4.25</v>
      </c>
      <c r="Y83" s="34" t="str">
        <f t="shared" si="25"/>
        <v>Buena</v>
      </c>
      <c r="Z83" s="34">
        <f t="shared" si="26"/>
        <v>3</v>
      </c>
      <c r="AA83" s="36">
        <f t="shared" si="27"/>
        <v>4</v>
      </c>
      <c r="AB83" s="36" t="str">
        <f t="shared" si="28"/>
        <v>Buena</v>
      </c>
      <c r="AC83" s="36">
        <f t="shared" si="29"/>
        <v>3</v>
      </c>
      <c r="AD83" s="37">
        <f t="shared" si="30"/>
        <v>4.25</v>
      </c>
      <c r="AE83" s="38" t="str">
        <f t="shared" si="31"/>
        <v>Buena</v>
      </c>
      <c r="AF83" s="38">
        <f t="shared" si="32"/>
        <v>3</v>
      </c>
    </row>
    <row r="84" spans="1:32" x14ac:dyDescent="0.25">
      <c r="A84" t="s">
        <v>98</v>
      </c>
      <c r="B84" s="1">
        <v>2</v>
      </c>
      <c r="C84" s="1">
        <v>2</v>
      </c>
      <c r="D84" s="1">
        <v>2</v>
      </c>
      <c r="E84" s="1">
        <v>2</v>
      </c>
      <c r="F84" s="1">
        <v>2</v>
      </c>
      <c r="G84" s="1">
        <v>3</v>
      </c>
      <c r="H84" s="1">
        <v>3</v>
      </c>
      <c r="I84" s="1">
        <v>2</v>
      </c>
      <c r="J84" s="1">
        <v>3</v>
      </c>
      <c r="K84" s="1">
        <v>1</v>
      </c>
      <c r="L84" s="1">
        <v>2</v>
      </c>
      <c r="M84" s="1">
        <v>2</v>
      </c>
      <c r="N84" s="1">
        <v>2</v>
      </c>
      <c r="O84" s="1">
        <v>2</v>
      </c>
      <c r="P84" s="1">
        <v>1</v>
      </c>
      <c r="Q84" s="1">
        <v>3</v>
      </c>
      <c r="R84" s="27">
        <f t="shared" si="18"/>
        <v>2</v>
      </c>
      <c r="S84" s="28" t="str">
        <f t="shared" si="19"/>
        <v>Mala</v>
      </c>
      <c r="T84" s="28">
        <f t="shared" si="20"/>
        <v>1</v>
      </c>
      <c r="U84" s="32">
        <f t="shared" si="21"/>
        <v>2.5</v>
      </c>
      <c r="V84" s="32" t="str">
        <f t="shared" si="22"/>
        <v>Regular</v>
      </c>
      <c r="W84" s="32">
        <f t="shared" si="23"/>
        <v>2</v>
      </c>
      <c r="X84" s="34">
        <f t="shared" si="24"/>
        <v>2</v>
      </c>
      <c r="Y84" s="34" t="str">
        <f t="shared" si="25"/>
        <v>Mala</v>
      </c>
      <c r="Z84" s="34">
        <f t="shared" si="26"/>
        <v>1</v>
      </c>
      <c r="AA84" s="36">
        <f t="shared" si="27"/>
        <v>2</v>
      </c>
      <c r="AB84" s="36" t="str">
        <f t="shared" si="28"/>
        <v>Mala</v>
      </c>
      <c r="AC84" s="36">
        <f t="shared" si="29"/>
        <v>1</v>
      </c>
      <c r="AD84" s="37">
        <f t="shared" si="30"/>
        <v>2.125</v>
      </c>
      <c r="AE84" s="38" t="str">
        <f t="shared" si="31"/>
        <v>Mala</v>
      </c>
      <c r="AF84" s="38">
        <f t="shared" si="32"/>
        <v>1</v>
      </c>
    </row>
    <row r="85" spans="1:32" x14ac:dyDescent="0.25">
      <c r="A85" t="s">
        <v>99</v>
      </c>
      <c r="B85" s="1">
        <v>4</v>
      </c>
      <c r="C85" s="1">
        <v>3</v>
      </c>
      <c r="D85" s="1">
        <v>4</v>
      </c>
      <c r="E85" s="1">
        <v>5</v>
      </c>
      <c r="F85" s="1">
        <v>4</v>
      </c>
      <c r="G85" s="1">
        <v>5</v>
      </c>
      <c r="H85" s="1">
        <v>5</v>
      </c>
      <c r="I85" s="1">
        <v>5</v>
      </c>
      <c r="J85" s="1">
        <v>5</v>
      </c>
      <c r="K85" s="1">
        <v>4</v>
      </c>
      <c r="L85" s="1">
        <v>3</v>
      </c>
      <c r="M85" s="1">
        <v>4</v>
      </c>
      <c r="N85" s="1">
        <v>5</v>
      </c>
      <c r="O85" s="1">
        <v>4</v>
      </c>
      <c r="P85" s="1">
        <v>5</v>
      </c>
      <c r="Q85" s="1">
        <v>5</v>
      </c>
      <c r="R85" s="27">
        <f t="shared" si="18"/>
        <v>4</v>
      </c>
      <c r="S85" s="28" t="str">
        <f t="shared" si="19"/>
        <v>Buena</v>
      </c>
      <c r="T85" s="28">
        <f t="shared" si="20"/>
        <v>3</v>
      </c>
      <c r="U85" s="32">
        <f t="shared" si="21"/>
        <v>4.75</v>
      </c>
      <c r="V85" s="32" t="str">
        <f t="shared" si="22"/>
        <v>Buena</v>
      </c>
      <c r="W85" s="32">
        <f t="shared" si="23"/>
        <v>3</v>
      </c>
      <c r="X85" s="34">
        <f t="shared" si="24"/>
        <v>4</v>
      </c>
      <c r="Y85" s="34" t="str">
        <f t="shared" si="25"/>
        <v>Buena</v>
      </c>
      <c r="Z85" s="34">
        <f t="shared" si="26"/>
        <v>3</v>
      </c>
      <c r="AA85" s="36">
        <f t="shared" si="27"/>
        <v>4.75</v>
      </c>
      <c r="AB85" s="36" t="str">
        <f t="shared" si="28"/>
        <v>Buena</v>
      </c>
      <c r="AC85" s="36">
        <f t="shared" si="29"/>
        <v>3</v>
      </c>
      <c r="AD85" s="37">
        <f t="shared" si="30"/>
        <v>4.375</v>
      </c>
      <c r="AE85" s="38" t="str">
        <f t="shared" si="31"/>
        <v>Buena</v>
      </c>
      <c r="AF85" s="38">
        <f t="shared" si="32"/>
        <v>3</v>
      </c>
    </row>
    <row r="86" spans="1:32" x14ac:dyDescent="0.25">
      <c r="A86" t="s">
        <v>100</v>
      </c>
      <c r="B86" s="1">
        <v>3</v>
      </c>
      <c r="C86" s="1">
        <v>3</v>
      </c>
      <c r="D86" s="1">
        <v>3</v>
      </c>
      <c r="E86" s="1">
        <v>3</v>
      </c>
      <c r="F86" s="1">
        <v>4</v>
      </c>
      <c r="G86" s="1">
        <v>4</v>
      </c>
      <c r="H86" s="1">
        <v>3</v>
      </c>
      <c r="I86" s="1">
        <v>4</v>
      </c>
      <c r="J86" s="1">
        <v>3</v>
      </c>
      <c r="K86" s="1">
        <v>2</v>
      </c>
      <c r="L86" s="1">
        <v>4</v>
      </c>
      <c r="M86" s="1">
        <v>4</v>
      </c>
      <c r="N86" s="1">
        <v>3</v>
      </c>
      <c r="O86" s="1">
        <v>4</v>
      </c>
      <c r="P86" s="1">
        <v>3</v>
      </c>
      <c r="Q86" s="1">
        <v>3</v>
      </c>
      <c r="R86" s="27">
        <f t="shared" si="18"/>
        <v>3</v>
      </c>
      <c r="S86" s="28" t="str">
        <f t="shared" si="19"/>
        <v>Regular</v>
      </c>
      <c r="T86" s="28">
        <f t="shared" si="20"/>
        <v>2</v>
      </c>
      <c r="U86" s="32">
        <f t="shared" si="21"/>
        <v>3.75</v>
      </c>
      <c r="V86" s="32" t="str">
        <f t="shared" si="22"/>
        <v>Buena</v>
      </c>
      <c r="W86" s="32">
        <f t="shared" si="23"/>
        <v>3</v>
      </c>
      <c r="X86" s="34">
        <f t="shared" si="24"/>
        <v>3.25</v>
      </c>
      <c r="Y86" s="34" t="str">
        <f t="shared" si="25"/>
        <v>Regular</v>
      </c>
      <c r="Z86" s="34">
        <f t="shared" si="26"/>
        <v>2</v>
      </c>
      <c r="AA86" s="36">
        <f t="shared" si="27"/>
        <v>3.25</v>
      </c>
      <c r="AB86" s="36" t="str">
        <f t="shared" si="28"/>
        <v>Regular</v>
      </c>
      <c r="AC86" s="36">
        <f t="shared" si="29"/>
        <v>2</v>
      </c>
      <c r="AD86" s="37">
        <f t="shared" si="30"/>
        <v>3.3125</v>
      </c>
      <c r="AE86" s="38" t="str">
        <f t="shared" si="31"/>
        <v>Regular</v>
      </c>
      <c r="AF86" s="38">
        <f t="shared" si="32"/>
        <v>2</v>
      </c>
    </row>
    <row r="87" spans="1:32" x14ac:dyDescent="0.25">
      <c r="A87" t="s">
        <v>101</v>
      </c>
      <c r="B87" s="1">
        <v>5</v>
      </c>
      <c r="C87" s="1">
        <v>5</v>
      </c>
      <c r="D87" s="1">
        <v>4</v>
      </c>
      <c r="E87" s="1">
        <v>5</v>
      </c>
      <c r="F87" s="1">
        <v>5</v>
      </c>
      <c r="G87" s="1">
        <v>4</v>
      </c>
      <c r="H87" s="1">
        <v>5</v>
      </c>
      <c r="I87" s="1">
        <v>3</v>
      </c>
      <c r="J87" s="1">
        <v>4</v>
      </c>
      <c r="K87" s="1">
        <v>5</v>
      </c>
      <c r="L87" s="1">
        <v>5</v>
      </c>
      <c r="M87" s="1">
        <v>5</v>
      </c>
      <c r="N87" s="1">
        <v>5</v>
      </c>
      <c r="O87" s="1">
        <v>4</v>
      </c>
      <c r="P87" s="1">
        <v>5</v>
      </c>
      <c r="Q87" s="1">
        <v>4</v>
      </c>
      <c r="R87" s="27">
        <f t="shared" si="18"/>
        <v>4.75</v>
      </c>
      <c r="S87" s="28" t="str">
        <f t="shared" si="19"/>
        <v>Buena</v>
      </c>
      <c r="T87" s="28">
        <f t="shared" si="20"/>
        <v>3</v>
      </c>
      <c r="U87" s="32">
        <f t="shared" si="21"/>
        <v>4.25</v>
      </c>
      <c r="V87" s="32" t="str">
        <f t="shared" si="22"/>
        <v>Buena</v>
      </c>
      <c r="W87" s="32">
        <f t="shared" si="23"/>
        <v>3</v>
      </c>
      <c r="X87" s="34">
        <f t="shared" si="24"/>
        <v>4.75</v>
      </c>
      <c r="Y87" s="34" t="str">
        <f t="shared" si="25"/>
        <v>Buena</v>
      </c>
      <c r="Z87" s="34">
        <f t="shared" si="26"/>
        <v>3</v>
      </c>
      <c r="AA87" s="36">
        <f t="shared" si="27"/>
        <v>4.5</v>
      </c>
      <c r="AB87" s="36" t="str">
        <f t="shared" si="28"/>
        <v>Buena</v>
      </c>
      <c r="AC87" s="36">
        <f t="shared" si="29"/>
        <v>3</v>
      </c>
      <c r="AD87" s="37">
        <f t="shared" si="30"/>
        <v>4.5625</v>
      </c>
      <c r="AE87" s="38" t="str">
        <f t="shared" si="31"/>
        <v>Buena</v>
      </c>
      <c r="AF87" s="38">
        <f t="shared" si="32"/>
        <v>3</v>
      </c>
    </row>
    <row r="88" spans="1:32" x14ac:dyDescent="0.25">
      <c r="A88" t="s">
        <v>102</v>
      </c>
      <c r="B88" s="1">
        <v>2</v>
      </c>
      <c r="C88" s="1">
        <v>3</v>
      </c>
      <c r="D88" s="1">
        <v>3</v>
      </c>
      <c r="E88" s="1">
        <v>3</v>
      </c>
      <c r="F88" s="1">
        <v>2</v>
      </c>
      <c r="G88" s="1">
        <v>3</v>
      </c>
      <c r="H88" s="1">
        <v>2</v>
      </c>
      <c r="I88" s="1">
        <v>2</v>
      </c>
      <c r="J88" s="1">
        <v>3</v>
      </c>
      <c r="K88" s="1">
        <v>3</v>
      </c>
      <c r="L88" s="1">
        <v>3</v>
      </c>
      <c r="M88" s="1">
        <v>2</v>
      </c>
      <c r="N88" s="1">
        <v>3</v>
      </c>
      <c r="O88" s="1">
        <v>2</v>
      </c>
      <c r="P88" s="1">
        <v>3</v>
      </c>
      <c r="Q88" s="1">
        <v>3</v>
      </c>
      <c r="R88" s="27">
        <f t="shared" si="18"/>
        <v>2.75</v>
      </c>
      <c r="S88" s="28" t="str">
        <f t="shared" si="19"/>
        <v>Regular</v>
      </c>
      <c r="T88" s="28">
        <f t="shared" si="20"/>
        <v>2</v>
      </c>
      <c r="U88" s="32">
        <f t="shared" si="21"/>
        <v>2.25</v>
      </c>
      <c r="V88" s="32" t="str">
        <f t="shared" si="22"/>
        <v>Mala</v>
      </c>
      <c r="W88" s="32">
        <f t="shared" si="23"/>
        <v>1</v>
      </c>
      <c r="X88" s="34">
        <f t="shared" si="24"/>
        <v>2.75</v>
      </c>
      <c r="Y88" s="34" t="str">
        <f t="shared" si="25"/>
        <v>Regular</v>
      </c>
      <c r="Z88" s="34">
        <f t="shared" si="26"/>
        <v>2</v>
      </c>
      <c r="AA88" s="36">
        <f t="shared" si="27"/>
        <v>2.75</v>
      </c>
      <c r="AB88" s="36" t="str">
        <f t="shared" si="28"/>
        <v>Regular</v>
      </c>
      <c r="AC88" s="36">
        <f t="shared" si="29"/>
        <v>2</v>
      </c>
      <c r="AD88" s="37">
        <f t="shared" si="30"/>
        <v>2.625</v>
      </c>
      <c r="AE88" s="38" t="str">
        <f t="shared" si="31"/>
        <v>Regular</v>
      </c>
      <c r="AF88" s="38">
        <f t="shared" si="32"/>
        <v>2</v>
      </c>
    </row>
    <row r="89" spans="1:32" x14ac:dyDescent="0.25">
      <c r="A89" t="s">
        <v>103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27">
        <f t="shared" si="18"/>
        <v>1</v>
      </c>
      <c r="S89" s="28" t="str">
        <f t="shared" si="19"/>
        <v>Mala</v>
      </c>
      <c r="T89" s="28">
        <f t="shared" si="20"/>
        <v>1</v>
      </c>
      <c r="U89" s="32">
        <f t="shared" si="21"/>
        <v>1</v>
      </c>
      <c r="V89" s="32" t="str">
        <f t="shared" si="22"/>
        <v>Mala</v>
      </c>
      <c r="W89" s="32">
        <f t="shared" si="23"/>
        <v>1</v>
      </c>
      <c r="X89" s="34">
        <f t="shared" si="24"/>
        <v>1</v>
      </c>
      <c r="Y89" s="34" t="str">
        <f t="shared" si="25"/>
        <v>Mala</v>
      </c>
      <c r="Z89" s="34">
        <f t="shared" si="26"/>
        <v>1</v>
      </c>
      <c r="AA89" s="36">
        <f t="shared" si="27"/>
        <v>1</v>
      </c>
      <c r="AB89" s="36" t="str">
        <f t="shared" si="28"/>
        <v>Mala</v>
      </c>
      <c r="AC89" s="36">
        <f t="shared" si="29"/>
        <v>1</v>
      </c>
      <c r="AD89" s="37">
        <f t="shared" si="30"/>
        <v>1</v>
      </c>
      <c r="AE89" s="38" t="str">
        <f t="shared" si="31"/>
        <v>Mala</v>
      </c>
      <c r="AF89" s="38">
        <f t="shared" si="32"/>
        <v>1</v>
      </c>
    </row>
    <row r="90" spans="1:32" x14ac:dyDescent="0.25">
      <c r="A90" t="s">
        <v>104</v>
      </c>
      <c r="B90" s="1">
        <v>3</v>
      </c>
      <c r="C90" s="1">
        <v>2</v>
      </c>
      <c r="D90" s="1">
        <v>2</v>
      </c>
      <c r="E90" s="1">
        <v>2</v>
      </c>
      <c r="F90" s="1">
        <v>2</v>
      </c>
      <c r="G90" s="1">
        <v>1</v>
      </c>
      <c r="H90" s="1">
        <v>2</v>
      </c>
      <c r="I90" s="1">
        <v>1</v>
      </c>
      <c r="J90" s="1">
        <v>2</v>
      </c>
      <c r="K90" s="1">
        <v>2</v>
      </c>
      <c r="L90" s="1">
        <v>2</v>
      </c>
      <c r="M90" s="1">
        <v>2</v>
      </c>
      <c r="N90" s="1">
        <v>3</v>
      </c>
      <c r="O90" s="1">
        <v>2</v>
      </c>
      <c r="P90" s="1">
        <v>3</v>
      </c>
      <c r="Q90" s="1">
        <v>2</v>
      </c>
      <c r="R90" s="27">
        <f t="shared" si="18"/>
        <v>2.25</v>
      </c>
      <c r="S90" s="28" t="str">
        <f t="shared" si="19"/>
        <v>Mala</v>
      </c>
      <c r="T90" s="28">
        <f t="shared" si="20"/>
        <v>1</v>
      </c>
      <c r="U90" s="32">
        <f t="shared" si="21"/>
        <v>1.5</v>
      </c>
      <c r="V90" s="32" t="str">
        <f t="shared" si="22"/>
        <v>Mala</v>
      </c>
      <c r="W90" s="32">
        <f t="shared" si="23"/>
        <v>1</v>
      </c>
      <c r="X90" s="34">
        <f t="shared" si="24"/>
        <v>2</v>
      </c>
      <c r="Y90" s="34" t="str">
        <f t="shared" si="25"/>
        <v>Mala</v>
      </c>
      <c r="Z90" s="34">
        <f t="shared" si="26"/>
        <v>1</v>
      </c>
      <c r="AA90" s="36">
        <f t="shared" si="27"/>
        <v>2.5</v>
      </c>
      <c r="AB90" s="36" t="str">
        <f t="shared" si="28"/>
        <v>Regular</v>
      </c>
      <c r="AC90" s="36">
        <f t="shared" si="29"/>
        <v>2</v>
      </c>
      <c r="AD90" s="37">
        <f t="shared" si="30"/>
        <v>2.0625</v>
      </c>
      <c r="AE90" s="38" t="str">
        <f t="shared" si="31"/>
        <v>Mala</v>
      </c>
      <c r="AF90" s="38">
        <f t="shared" si="32"/>
        <v>1</v>
      </c>
    </row>
    <row r="91" spans="1:32" x14ac:dyDescent="0.25">
      <c r="A91" t="s">
        <v>105</v>
      </c>
      <c r="B91" s="1">
        <v>2</v>
      </c>
      <c r="C91" s="1">
        <v>2</v>
      </c>
      <c r="D91" s="1">
        <v>2</v>
      </c>
      <c r="E91" s="1">
        <v>2</v>
      </c>
      <c r="F91" s="1">
        <v>1</v>
      </c>
      <c r="G91" s="1">
        <v>2</v>
      </c>
      <c r="H91" s="1">
        <v>2</v>
      </c>
      <c r="I91" s="1">
        <v>2</v>
      </c>
      <c r="J91" s="1">
        <v>1</v>
      </c>
      <c r="K91" s="1">
        <v>1</v>
      </c>
      <c r="L91" s="1">
        <v>1</v>
      </c>
      <c r="M91" s="1">
        <v>1</v>
      </c>
      <c r="N91" s="1">
        <v>2</v>
      </c>
      <c r="O91" s="1">
        <v>2</v>
      </c>
      <c r="P91" s="1">
        <v>2</v>
      </c>
      <c r="Q91" s="1">
        <v>2</v>
      </c>
      <c r="R91" s="27">
        <f t="shared" si="18"/>
        <v>2</v>
      </c>
      <c r="S91" s="28" t="str">
        <f t="shared" si="19"/>
        <v>Mala</v>
      </c>
      <c r="T91" s="28">
        <f t="shared" si="20"/>
        <v>1</v>
      </c>
      <c r="U91" s="32">
        <f t="shared" si="21"/>
        <v>1.75</v>
      </c>
      <c r="V91" s="32" t="str">
        <f t="shared" si="22"/>
        <v>Mala</v>
      </c>
      <c r="W91" s="32">
        <f t="shared" si="23"/>
        <v>1</v>
      </c>
      <c r="X91" s="34">
        <f t="shared" si="24"/>
        <v>1</v>
      </c>
      <c r="Y91" s="34" t="str">
        <f t="shared" si="25"/>
        <v>Mala</v>
      </c>
      <c r="Z91" s="34">
        <f t="shared" si="26"/>
        <v>1</v>
      </c>
      <c r="AA91" s="36">
        <f t="shared" si="27"/>
        <v>2</v>
      </c>
      <c r="AB91" s="36" t="str">
        <f t="shared" si="28"/>
        <v>Mala</v>
      </c>
      <c r="AC91" s="36">
        <f t="shared" si="29"/>
        <v>1</v>
      </c>
      <c r="AD91" s="37">
        <f t="shared" si="30"/>
        <v>1.6875</v>
      </c>
      <c r="AE91" s="38" t="str">
        <f t="shared" si="31"/>
        <v>Mala</v>
      </c>
      <c r="AF91" s="38">
        <f t="shared" si="32"/>
        <v>1</v>
      </c>
    </row>
    <row r="92" spans="1:32" x14ac:dyDescent="0.25">
      <c r="A92" t="s">
        <v>106</v>
      </c>
      <c r="B92" s="1">
        <v>3</v>
      </c>
      <c r="C92" s="1">
        <v>3</v>
      </c>
      <c r="D92" s="1">
        <v>2</v>
      </c>
      <c r="E92" s="1">
        <v>3</v>
      </c>
      <c r="F92" s="1">
        <v>2</v>
      </c>
      <c r="G92" s="1">
        <v>3</v>
      </c>
      <c r="H92" s="1">
        <v>2</v>
      </c>
      <c r="I92" s="1">
        <v>2</v>
      </c>
      <c r="J92" s="1">
        <v>2</v>
      </c>
      <c r="K92" s="1">
        <v>3</v>
      </c>
      <c r="L92" s="1">
        <v>3</v>
      </c>
      <c r="M92" s="1">
        <v>2</v>
      </c>
      <c r="N92" s="1">
        <v>3</v>
      </c>
      <c r="O92" s="1">
        <v>3</v>
      </c>
      <c r="P92" s="1">
        <v>2</v>
      </c>
      <c r="Q92" s="1">
        <v>3</v>
      </c>
      <c r="R92" s="27">
        <f t="shared" si="18"/>
        <v>2.75</v>
      </c>
      <c r="S92" s="28" t="str">
        <f t="shared" si="19"/>
        <v>Regular</v>
      </c>
      <c r="T92" s="28">
        <f t="shared" si="20"/>
        <v>2</v>
      </c>
      <c r="U92" s="32">
        <f t="shared" si="21"/>
        <v>2.25</v>
      </c>
      <c r="V92" s="32" t="str">
        <f t="shared" si="22"/>
        <v>Mala</v>
      </c>
      <c r="W92" s="32">
        <f t="shared" si="23"/>
        <v>1</v>
      </c>
      <c r="X92" s="34">
        <f t="shared" si="24"/>
        <v>2.5</v>
      </c>
      <c r="Y92" s="34" t="str">
        <f t="shared" si="25"/>
        <v>Regular</v>
      </c>
      <c r="Z92" s="34">
        <f t="shared" si="26"/>
        <v>2</v>
      </c>
      <c r="AA92" s="36">
        <f t="shared" si="27"/>
        <v>2.75</v>
      </c>
      <c r="AB92" s="36" t="str">
        <f t="shared" si="28"/>
        <v>Regular</v>
      </c>
      <c r="AC92" s="36">
        <f t="shared" si="29"/>
        <v>2</v>
      </c>
      <c r="AD92" s="37">
        <f t="shared" si="30"/>
        <v>2.5625</v>
      </c>
      <c r="AE92" s="38" t="str">
        <f t="shared" si="31"/>
        <v>Regular</v>
      </c>
      <c r="AF92" s="38">
        <f t="shared" si="32"/>
        <v>2</v>
      </c>
    </row>
    <row r="93" spans="1:32" x14ac:dyDescent="0.25">
      <c r="A93" t="s">
        <v>107</v>
      </c>
      <c r="B93" s="1">
        <v>2</v>
      </c>
      <c r="C93" s="1">
        <v>2</v>
      </c>
      <c r="D93" s="1">
        <v>1</v>
      </c>
      <c r="E93" s="1">
        <v>2</v>
      </c>
      <c r="F93" s="1">
        <v>1</v>
      </c>
      <c r="G93" s="1">
        <v>2</v>
      </c>
      <c r="H93" s="1">
        <v>2</v>
      </c>
      <c r="I93" s="1">
        <v>2</v>
      </c>
      <c r="J93" s="1">
        <v>2</v>
      </c>
      <c r="K93" s="1">
        <v>1</v>
      </c>
      <c r="L93" s="1">
        <v>2</v>
      </c>
      <c r="M93" s="1">
        <v>2</v>
      </c>
      <c r="N93" s="1">
        <v>2</v>
      </c>
      <c r="O93" s="1">
        <v>2</v>
      </c>
      <c r="P93" s="1">
        <v>2</v>
      </c>
      <c r="Q93" s="1">
        <v>2</v>
      </c>
      <c r="R93" s="27">
        <f t="shared" si="18"/>
        <v>1.75</v>
      </c>
      <c r="S93" s="28" t="str">
        <f t="shared" si="19"/>
        <v>Mala</v>
      </c>
      <c r="T93" s="28">
        <f t="shared" si="20"/>
        <v>1</v>
      </c>
      <c r="U93" s="32">
        <f t="shared" si="21"/>
        <v>1.75</v>
      </c>
      <c r="V93" s="32" t="str">
        <f t="shared" si="22"/>
        <v>Mala</v>
      </c>
      <c r="W93" s="32">
        <f t="shared" si="23"/>
        <v>1</v>
      </c>
      <c r="X93" s="34">
        <f t="shared" si="24"/>
        <v>1.75</v>
      </c>
      <c r="Y93" s="34" t="str">
        <f t="shared" si="25"/>
        <v>Mala</v>
      </c>
      <c r="Z93" s="34">
        <f t="shared" si="26"/>
        <v>1</v>
      </c>
      <c r="AA93" s="36">
        <f t="shared" si="27"/>
        <v>2</v>
      </c>
      <c r="AB93" s="36" t="str">
        <f t="shared" si="28"/>
        <v>Mala</v>
      </c>
      <c r="AC93" s="36">
        <f t="shared" si="29"/>
        <v>1</v>
      </c>
      <c r="AD93" s="37">
        <f t="shared" si="30"/>
        <v>1.8125</v>
      </c>
      <c r="AE93" s="38" t="str">
        <f t="shared" si="31"/>
        <v>Mala</v>
      </c>
      <c r="AF93" s="38">
        <f t="shared" si="32"/>
        <v>1</v>
      </c>
    </row>
    <row r="94" spans="1:32" x14ac:dyDescent="0.25">
      <c r="A94" t="s">
        <v>108</v>
      </c>
      <c r="B94" s="1">
        <v>2</v>
      </c>
      <c r="C94" s="1">
        <v>3</v>
      </c>
      <c r="D94" s="1">
        <v>2</v>
      </c>
      <c r="E94" s="1">
        <v>2</v>
      </c>
      <c r="F94" s="1">
        <v>3</v>
      </c>
      <c r="G94" s="1">
        <v>3</v>
      </c>
      <c r="H94" s="1">
        <v>2</v>
      </c>
      <c r="I94" s="1">
        <v>3</v>
      </c>
      <c r="J94" s="1">
        <v>3</v>
      </c>
      <c r="K94" s="1">
        <v>3</v>
      </c>
      <c r="L94" s="1">
        <v>3</v>
      </c>
      <c r="M94" s="1">
        <v>2</v>
      </c>
      <c r="N94" s="1">
        <v>2</v>
      </c>
      <c r="O94" s="1">
        <v>2</v>
      </c>
      <c r="P94" s="1">
        <v>3</v>
      </c>
      <c r="Q94" s="1">
        <v>3</v>
      </c>
      <c r="R94" s="27">
        <f t="shared" si="18"/>
        <v>2.25</v>
      </c>
      <c r="S94" s="28" t="str">
        <f t="shared" si="19"/>
        <v>Mala</v>
      </c>
      <c r="T94" s="28">
        <f t="shared" si="20"/>
        <v>1</v>
      </c>
      <c r="U94" s="32">
        <f t="shared" si="21"/>
        <v>2.75</v>
      </c>
      <c r="V94" s="32" t="str">
        <f t="shared" si="22"/>
        <v>Regular</v>
      </c>
      <c r="W94" s="32">
        <f t="shared" si="23"/>
        <v>2</v>
      </c>
      <c r="X94" s="34">
        <f t="shared" si="24"/>
        <v>2.75</v>
      </c>
      <c r="Y94" s="34" t="str">
        <f t="shared" si="25"/>
        <v>Regular</v>
      </c>
      <c r="Z94" s="34">
        <f t="shared" si="26"/>
        <v>2</v>
      </c>
      <c r="AA94" s="36">
        <f t="shared" si="27"/>
        <v>2.5</v>
      </c>
      <c r="AB94" s="36" t="str">
        <f t="shared" si="28"/>
        <v>Regular</v>
      </c>
      <c r="AC94" s="36">
        <f t="shared" si="29"/>
        <v>2</v>
      </c>
      <c r="AD94" s="37">
        <f t="shared" si="30"/>
        <v>2.5625</v>
      </c>
      <c r="AE94" s="38" t="str">
        <f t="shared" si="31"/>
        <v>Regular</v>
      </c>
      <c r="AF94" s="38">
        <f t="shared" si="32"/>
        <v>2</v>
      </c>
    </row>
    <row r="95" spans="1:32" x14ac:dyDescent="0.25">
      <c r="A95" t="s">
        <v>109</v>
      </c>
      <c r="B95" s="1">
        <v>4</v>
      </c>
      <c r="C95" s="1">
        <v>5</v>
      </c>
      <c r="D95" s="1">
        <v>5</v>
      </c>
      <c r="E95" s="1">
        <v>4</v>
      </c>
      <c r="F95" s="1">
        <v>5</v>
      </c>
      <c r="G95" s="1">
        <v>4</v>
      </c>
      <c r="H95" s="1">
        <v>3</v>
      </c>
      <c r="I95" s="1">
        <v>5</v>
      </c>
      <c r="J95" s="1">
        <v>4</v>
      </c>
      <c r="K95" s="1">
        <v>5</v>
      </c>
      <c r="L95" s="1">
        <v>5</v>
      </c>
      <c r="M95" s="1">
        <v>5</v>
      </c>
      <c r="N95" s="1">
        <v>4</v>
      </c>
      <c r="O95" s="1">
        <v>5</v>
      </c>
      <c r="P95" s="1">
        <v>5</v>
      </c>
      <c r="Q95" s="1">
        <v>5</v>
      </c>
      <c r="R95" s="27">
        <f t="shared" si="18"/>
        <v>4.5</v>
      </c>
      <c r="S95" s="28" t="str">
        <f t="shared" si="19"/>
        <v>Buena</v>
      </c>
      <c r="T95" s="28">
        <f t="shared" si="20"/>
        <v>3</v>
      </c>
      <c r="U95" s="32">
        <f t="shared" si="21"/>
        <v>4.25</v>
      </c>
      <c r="V95" s="32" t="str">
        <f t="shared" si="22"/>
        <v>Buena</v>
      </c>
      <c r="W95" s="32">
        <f t="shared" si="23"/>
        <v>3</v>
      </c>
      <c r="X95" s="34">
        <f t="shared" si="24"/>
        <v>4.75</v>
      </c>
      <c r="Y95" s="34" t="str">
        <f t="shared" si="25"/>
        <v>Buena</v>
      </c>
      <c r="Z95" s="34">
        <f t="shared" si="26"/>
        <v>3</v>
      </c>
      <c r="AA95" s="36">
        <f t="shared" si="27"/>
        <v>4.75</v>
      </c>
      <c r="AB95" s="36" t="str">
        <f t="shared" si="28"/>
        <v>Buena</v>
      </c>
      <c r="AC95" s="36">
        <f t="shared" si="29"/>
        <v>3</v>
      </c>
      <c r="AD95" s="37">
        <f t="shared" si="30"/>
        <v>4.5625</v>
      </c>
      <c r="AE95" s="38" t="str">
        <f t="shared" si="31"/>
        <v>Buena</v>
      </c>
      <c r="AF95" s="38">
        <f t="shared" si="32"/>
        <v>3</v>
      </c>
    </row>
    <row r="96" spans="1:32" x14ac:dyDescent="0.25">
      <c r="A96" t="s">
        <v>110</v>
      </c>
      <c r="B96" s="1">
        <v>2</v>
      </c>
      <c r="C96" s="1">
        <v>2</v>
      </c>
      <c r="D96" s="1">
        <v>2</v>
      </c>
      <c r="E96" s="1">
        <v>1</v>
      </c>
      <c r="F96" s="1">
        <v>1</v>
      </c>
      <c r="G96" s="1">
        <v>2</v>
      </c>
      <c r="H96" s="1">
        <v>2</v>
      </c>
      <c r="I96" s="1">
        <v>2</v>
      </c>
      <c r="J96" s="1">
        <v>2</v>
      </c>
      <c r="K96" s="1">
        <v>2</v>
      </c>
      <c r="L96" s="1">
        <v>1</v>
      </c>
      <c r="M96" s="1">
        <v>1</v>
      </c>
      <c r="N96" s="1">
        <v>2</v>
      </c>
      <c r="O96" s="1">
        <v>1</v>
      </c>
      <c r="P96" s="1">
        <v>1</v>
      </c>
      <c r="Q96" s="1">
        <v>2</v>
      </c>
      <c r="R96" s="27">
        <f t="shared" si="18"/>
        <v>1.75</v>
      </c>
      <c r="S96" s="28" t="str">
        <f t="shared" si="19"/>
        <v>Mala</v>
      </c>
      <c r="T96" s="28">
        <f t="shared" si="20"/>
        <v>1</v>
      </c>
      <c r="U96" s="32">
        <f t="shared" si="21"/>
        <v>1.75</v>
      </c>
      <c r="V96" s="32" t="str">
        <f t="shared" si="22"/>
        <v>Mala</v>
      </c>
      <c r="W96" s="32">
        <f t="shared" si="23"/>
        <v>1</v>
      </c>
      <c r="X96" s="34">
        <f t="shared" si="24"/>
        <v>1.5</v>
      </c>
      <c r="Y96" s="34" t="str">
        <f t="shared" si="25"/>
        <v>Mala</v>
      </c>
      <c r="Z96" s="34">
        <f t="shared" si="26"/>
        <v>1</v>
      </c>
      <c r="AA96" s="36">
        <f t="shared" si="27"/>
        <v>1.5</v>
      </c>
      <c r="AB96" s="36" t="str">
        <f t="shared" si="28"/>
        <v>Mala</v>
      </c>
      <c r="AC96" s="36">
        <f t="shared" si="29"/>
        <v>1</v>
      </c>
      <c r="AD96" s="37">
        <f t="shared" si="30"/>
        <v>1.625</v>
      </c>
      <c r="AE96" s="38" t="str">
        <f t="shared" si="31"/>
        <v>Mala</v>
      </c>
      <c r="AF96" s="38">
        <f t="shared" si="32"/>
        <v>1</v>
      </c>
    </row>
    <row r="97" spans="1:32" x14ac:dyDescent="0.25">
      <c r="A97" t="s">
        <v>111</v>
      </c>
      <c r="B97" s="1">
        <v>3</v>
      </c>
      <c r="C97" s="1">
        <v>3</v>
      </c>
      <c r="D97" s="1">
        <v>3</v>
      </c>
      <c r="E97" s="1">
        <v>3</v>
      </c>
      <c r="F97" s="1">
        <v>3</v>
      </c>
      <c r="G97" s="1">
        <v>2</v>
      </c>
      <c r="H97" s="1">
        <v>2</v>
      </c>
      <c r="I97" s="1">
        <v>3</v>
      </c>
      <c r="J97" s="1">
        <v>2</v>
      </c>
      <c r="K97" s="1">
        <v>2</v>
      </c>
      <c r="L97" s="1">
        <v>3</v>
      </c>
      <c r="M97" s="1">
        <v>3</v>
      </c>
      <c r="N97" s="1">
        <v>3</v>
      </c>
      <c r="O97" s="1">
        <v>2</v>
      </c>
      <c r="P97" s="1">
        <v>3</v>
      </c>
      <c r="Q97" s="1">
        <v>2</v>
      </c>
      <c r="R97" s="27">
        <f t="shared" si="18"/>
        <v>3</v>
      </c>
      <c r="S97" s="28" t="str">
        <f t="shared" si="19"/>
        <v>Regular</v>
      </c>
      <c r="T97" s="28">
        <f t="shared" si="20"/>
        <v>2</v>
      </c>
      <c r="U97" s="32">
        <f t="shared" si="21"/>
        <v>2.5</v>
      </c>
      <c r="V97" s="32" t="str">
        <f t="shared" si="22"/>
        <v>Regular</v>
      </c>
      <c r="W97" s="32">
        <f t="shared" si="23"/>
        <v>2</v>
      </c>
      <c r="X97" s="34">
        <f t="shared" si="24"/>
        <v>2.5</v>
      </c>
      <c r="Y97" s="34" t="str">
        <f t="shared" si="25"/>
        <v>Regular</v>
      </c>
      <c r="Z97" s="34">
        <f t="shared" si="26"/>
        <v>2</v>
      </c>
      <c r="AA97" s="36">
        <f t="shared" si="27"/>
        <v>2.5</v>
      </c>
      <c r="AB97" s="36" t="str">
        <f t="shared" si="28"/>
        <v>Regular</v>
      </c>
      <c r="AC97" s="36">
        <f t="shared" si="29"/>
        <v>2</v>
      </c>
      <c r="AD97" s="37">
        <f t="shared" si="30"/>
        <v>2.625</v>
      </c>
      <c r="AE97" s="38" t="str">
        <f t="shared" si="31"/>
        <v>Regular</v>
      </c>
      <c r="AF97" s="38">
        <f t="shared" si="32"/>
        <v>2</v>
      </c>
    </row>
    <row r="98" spans="1:32" x14ac:dyDescent="0.25">
      <c r="A98" t="s">
        <v>112</v>
      </c>
      <c r="B98" s="1">
        <v>3</v>
      </c>
      <c r="C98" s="1">
        <v>3</v>
      </c>
      <c r="D98" s="1">
        <v>4</v>
      </c>
      <c r="E98" s="1">
        <v>4</v>
      </c>
      <c r="F98" s="1">
        <v>4</v>
      </c>
      <c r="G98" s="1">
        <v>5</v>
      </c>
      <c r="H98" s="1">
        <v>5</v>
      </c>
      <c r="I98" s="1">
        <v>4</v>
      </c>
      <c r="J98" s="1">
        <v>4</v>
      </c>
      <c r="K98" s="1">
        <v>5</v>
      </c>
      <c r="L98" s="1">
        <v>5</v>
      </c>
      <c r="M98" s="1">
        <v>4</v>
      </c>
      <c r="N98" s="1">
        <v>4</v>
      </c>
      <c r="O98" s="1">
        <v>5</v>
      </c>
      <c r="P98" s="1">
        <v>5</v>
      </c>
      <c r="Q98" s="1">
        <v>3</v>
      </c>
      <c r="R98" s="27">
        <f t="shared" si="18"/>
        <v>3.5</v>
      </c>
      <c r="S98" s="28" t="str">
        <f t="shared" si="19"/>
        <v>Regular</v>
      </c>
      <c r="T98" s="28">
        <f t="shared" si="20"/>
        <v>2</v>
      </c>
      <c r="U98" s="32">
        <f t="shared" si="21"/>
        <v>4.5</v>
      </c>
      <c r="V98" s="32" t="str">
        <f t="shared" si="22"/>
        <v>Buena</v>
      </c>
      <c r="W98" s="32">
        <f t="shared" si="23"/>
        <v>3</v>
      </c>
      <c r="X98" s="34">
        <f t="shared" si="24"/>
        <v>4.5</v>
      </c>
      <c r="Y98" s="34" t="str">
        <f t="shared" si="25"/>
        <v>Buena</v>
      </c>
      <c r="Z98" s="34">
        <f t="shared" si="26"/>
        <v>3</v>
      </c>
      <c r="AA98" s="36">
        <f t="shared" si="27"/>
        <v>4.25</v>
      </c>
      <c r="AB98" s="36" t="str">
        <f t="shared" si="28"/>
        <v>Buena</v>
      </c>
      <c r="AC98" s="36">
        <f t="shared" si="29"/>
        <v>3</v>
      </c>
      <c r="AD98" s="37">
        <f t="shared" si="30"/>
        <v>4.1875</v>
      </c>
      <c r="AE98" s="38" t="str">
        <f t="shared" si="31"/>
        <v>Buena</v>
      </c>
      <c r="AF98" s="38">
        <f t="shared" si="32"/>
        <v>3</v>
      </c>
    </row>
    <row r="99" spans="1:32" x14ac:dyDescent="0.25">
      <c r="A99" t="s">
        <v>113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  <c r="G99" s="1">
        <v>2</v>
      </c>
      <c r="H99" s="1">
        <v>1</v>
      </c>
      <c r="I99" s="1">
        <v>1</v>
      </c>
      <c r="J99" s="1">
        <v>2</v>
      </c>
      <c r="K99" s="1">
        <v>2</v>
      </c>
      <c r="L99" s="1">
        <v>2</v>
      </c>
      <c r="M99" s="1">
        <v>1</v>
      </c>
      <c r="N99" s="1">
        <v>2</v>
      </c>
      <c r="O99" s="1">
        <v>2</v>
      </c>
      <c r="P99" s="1">
        <v>1</v>
      </c>
      <c r="Q99" s="1">
        <v>1</v>
      </c>
      <c r="R99" s="27">
        <f t="shared" si="18"/>
        <v>1</v>
      </c>
      <c r="S99" s="28" t="str">
        <f t="shared" si="19"/>
        <v>Mala</v>
      </c>
      <c r="T99" s="28">
        <f t="shared" si="20"/>
        <v>1</v>
      </c>
      <c r="U99" s="32">
        <f t="shared" si="21"/>
        <v>1.25</v>
      </c>
      <c r="V99" s="32" t="str">
        <f t="shared" si="22"/>
        <v>Mala</v>
      </c>
      <c r="W99" s="32">
        <f t="shared" si="23"/>
        <v>1</v>
      </c>
      <c r="X99" s="34">
        <f t="shared" si="24"/>
        <v>1.75</v>
      </c>
      <c r="Y99" s="34" t="str">
        <f t="shared" si="25"/>
        <v>Mala</v>
      </c>
      <c r="Z99" s="34">
        <f t="shared" si="26"/>
        <v>1</v>
      </c>
      <c r="AA99" s="36">
        <f t="shared" si="27"/>
        <v>1.5</v>
      </c>
      <c r="AB99" s="36" t="str">
        <f t="shared" si="28"/>
        <v>Mala</v>
      </c>
      <c r="AC99" s="36">
        <f t="shared" si="29"/>
        <v>1</v>
      </c>
      <c r="AD99" s="37">
        <f t="shared" si="30"/>
        <v>1.375</v>
      </c>
      <c r="AE99" s="38" t="str">
        <f t="shared" si="31"/>
        <v>Mala</v>
      </c>
      <c r="AF99" s="38">
        <f t="shared" si="32"/>
        <v>1</v>
      </c>
    </row>
    <row r="100" spans="1:32" x14ac:dyDescent="0.25">
      <c r="A100" t="s">
        <v>114</v>
      </c>
      <c r="B100" s="1">
        <v>3</v>
      </c>
      <c r="C100" s="1">
        <v>4</v>
      </c>
      <c r="D100" s="1">
        <v>2</v>
      </c>
      <c r="E100" s="1">
        <v>3</v>
      </c>
      <c r="F100" s="1">
        <v>4</v>
      </c>
      <c r="G100" s="1">
        <v>3</v>
      </c>
      <c r="H100" s="1">
        <v>3</v>
      </c>
      <c r="I100" s="1">
        <v>3</v>
      </c>
      <c r="J100" s="1">
        <v>4</v>
      </c>
      <c r="K100" s="1">
        <v>2</v>
      </c>
      <c r="L100" s="1">
        <v>2</v>
      </c>
      <c r="M100" s="1">
        <v>3</v>
      </c>
      <c r="N100" s="1">
        <v>3</v>
      </c>
      <c r="O100" s="1">
        <v>4</v>
      </c>
      <c r="P100" s="1">
        <v>2</v>
      </c>
      <c r="Q100" s="1">
        <v>3</v>
      </c>
      <c r="R100" s="27">
        <f t="shared" si="18"/>
        <v>3</v>
      </c>
      <c r="S100" s="28" t="str">
        <f t="shared" si="19"/>
        <v>Regular</v>
      </c>
      <c r="T100" s="28">
        <f t="shared" si="20"/>
        <v>2</v>
      </c>
      <c r="U100" s="32">
        <f t="shared" si="21"/>
        <v>3.25</v>
      </c>
      <c r="V100" s="32" t="str">
        <f t="shared" si="22"/>
        <v>Regular</v>
      </c>
      <c r="W100" s="32">
        <f t="shared" si="23"/>
        <v>2</v>
      </c>
      <c r="X100" s="34">
        <f t="shared" si="24"/>
        <v>2.75</v>
      </c>
      <c r="Y100" s="34" t="str">
        <f t="shared" si="25"/>
        <v>Regular</v>
      </c>
      <c r="Z100" s="34">
        <f t="shared" si="26"/>
        <v>2</v>
      </c>
      <c r="AA100" s="36">
        <f t="shared" si="27"/>
        <v>3</v>
      </c>
      <c r="AB100" s="36" t="str">
        <f t="shared" si="28"/>
        <v>Regular</v>
      </c>
      <c r="AC100" s="36">
        <f t="shared" si="29"/>
        <v>2</v>
      </c>
      <c r="AD100" s="37">
        <f t="shared" si="30"/>
        <v>3</v>
      </c>
      <c r="AE100" s="38" t="str">
        <f t="shared" si="31"/>
        <v>Regular</v>
      </c>
      <c r="AF100" s="38">
        <f t="shared" si="32"/>
        <v>2</v>
      </c>
    </row>
    <row r="101" spans="1:32" x14ac:dyDescent="0.25">
      <c r="A101" t="s">
        <v>115</v>
      </c>
      <c r="B101" s="1">
        <v>2</v>
      </c>
      <c r="C101" s="1">
        <v>2</v>
      </c>
      <c r="D101" s="1">
        <v>2</v>
      </c>
      <c r="E101" s="1">
        <v>2</v>
      </c>
      <c r="F101" s="1">
        <v>2</v>
      </c>
      <c r="G101" s="1">
        <v>2</v>
      </c>
      <c r="H101" s="1">
        <v>2</v>
      </c>
      <c r="I101" s="1">
        <v>2</v>
      </c>
      <c r="J101" s="1">
        <v>1</v>
      </c>
      <c r="K101" s="1">
        <v>2</v>
      </c>
      <c r="L101" s="1">
        <v>1</v>
      </c>
      <c r="M101" s="1">
        <v>2</v>
      </c>
      <c r="N101" s="1">
        <v>2</v>
      </c>
      <c r="O101" s="1">
        <v>2</v>
      </c>
      <c r="P101" s="1">
        <v>2</v>
      </c>
      <c r="Q101" s="1">
        <v>3</v>
      </c>
      <c r="R101" s="27">
        <f t="shared" si="18"/>
        <v>2</v>
      </c>
      <c r="S101" s="28" t="str">
        <f t="shared" si="19"/>
        <v>Mala</v>
      </c>
      <c r="T101" s="28">
        <f t="shared" si="20"/>
        <v>1</v>
      </c>
      <c r="U101" s="32">
        <f t="shared" si="21"/>
        <v>2</v>
      </c>
      <c r="V101" s="32" t="str">
        <f t="shared" si="22"/>
        <v>Mala</v>
      </c>
      <c r="W101" s="32">
        <f t="shared" si="23"/>
        <v>1</v>
      </c>
      <c r="X101" s="34">
        <f t="shared" si="24"/>
        <v>1.5</v>
      </c>
      <c r="Y101" s="34" t="str">
        <f t="shared" si="25"/>
        <v>Mala</v>
      </c>
      <c r="Z101" s="34">
        <f t="shared" si="26"/>
        <v>1</v>
      </c>
      <c r="AA101" s="36">
        <f t="shared" si="27"/>
        <v>2.25</v>
      </c>
      <c r="AB101" s="36" t="str">
        <f t="shared" si="28"/>
        <v>Mala</v>
      </c>
      <c r="AC101" s="36">
        <f t="shared" si="29"/>
        <v>1</v>
      </c>
      <c r="AD101" s="37">
        <f t="shared" si="30"/>
        <v>1.9375</v>
      </c>
      <c r="AE101" s="38" t="str">
        <f t="shared" si="31"/>
        <v>Mala</v>
      </c>
      <c r="AF101" s="38">
        <f t="shared" si="32"/>
        <v>1</v>
      </c>
    </row>
    <row r="102" spans="1:32" x14ac:dyDescent="0.25">
      <c r="A102" t="s">
        <v>116</v>
      </c>
      <c r="B102" s="1">
        <v>2</v>
      </c>
      <c r="C102" s="1">
        <v>3</v>
      </c>
      <c r="D102" s="1">
        <v>2</v>
      </c>
      <c r="E102" s="1">
        <v>3</v>
      </c>
      <c r="F102" s="1">
        <v>3</v>
      </c>
      <c r="G102" s="1">
        <v>3</v>
      </c>
      <c r="H102" s="1">
        <v>3</v>
      </c>
      <c r="I102" s="1">
        <v>4</v>
      </c>
      <c r="J102" s="1">
        <v>3</v>
      </c>
      <c r="K102" s="1">
        <v>3</v>
      </c>
      <c r="L102" s="1">
        <v>4</v>
      </c>
      <c r="M102" s="1">
        <v>2</v>
      </c>
      <c r="N102" s="1">
        <v>4</v>
      </c>
      <c r="O102" s="1">
        <v>4</v>
      </c>
      <c r="P102" s="1">
        <v>3</v>
      </c>
      <c r="Q102" s="1">
        <v>3</v>
      </c>
      <c r="R102" s="27">
        <f t="shared" si="18"/>
        <v>2.5</v>
      </c>
      <c r="S102" s="28" t="str">
        <f t="shared" si="19"/>
        <v>Regular</v>
      </c>
      <c r="T102" s="28">
        <f t="shared" si="20"/>
        <v>2</v>
      </c>
      <c r="U102" s="32">
        <f t="shared" si="21"/>
        <v>3.25</v>
      </c>
      <c r="V102" s="32" t="str">
        <f t="shared" si="22"/>
        <v>Regular</v>
      </c>
      <c r="W102" s="32">
        <f t="shared" si="23"/>
        <v>2</v>
      </c>
      <c r="X102" s="34">
        <f t="shared" si="24"/>
        <v>3</v>
      </c>
      <c r="Y102" s="34" t="str">
        <f t="shared" si="25"/>
        <v>Regular</v>
      </c>
      <c r="Z102" s="34">
        <f t="shared" si="26"/>
        <v>2</v>
      </c>
      <c r="AA102" s="36">
        <f t="shared" si="27"/>
        <v>3.5</v>
      </c>
      <c r="AB102" s="36" t="str">
        <f t="shared" si="28"/>
        <v>Regular</v>
      </c>
      <c r="AC102" s="36">
        <f t="shared" si="29"/>
        <v>2</v>
      </c>
      <c r="AD102" s="37">
        <f t="shared" si="30"/>
        <v>3.0625</v>
      </c>
      <c r="AE102" s="38" t="str">
        <f t="shared" si="31"/>
        <v>Regular</v>
      </c>
      <c r="AF102" s="38">
        <f t="shared" si="32"/>
        <v>2</v>
      </c>
    </row>
    <row r="103" spans="1:32" x14ac:dyDescent="0.25">
      <c r="A103" t="s">
        <v>117</v>
      </c>
      <c r="B103" s="1">
        <v>2</v>
      </c>
      <c r="C103" s="1">
        <v>2</v>
      </c>
      <c r="D103" s="1">
        <v>1</v>
      </c>
      <c r="E103" s="1">
        <v>2</v>
      </c>
      <c r="F103" s="1">
        <v>2</v>
      </c>
      <c r="G103" s="1">
        <v>2</v>
      </c>
      <c r="H103" s="1">
        <v>2</v>
      </c>
      <c r="I103" s="1">
        <v>2</v>
      </c>
      <c r="J103" s="1">
        <v>2</v>
      </c>
      <c r="K103" s="1">
        <v>1</v>
      </c>
      <c r="L103" s="1">
        <v>2</v>
      </c>
      <c r="M103" s="1">
        <v>1</v>
      </c>
      <c r="N103" s="1">
        <v>2</v>
      </c>
      <c r="O103" s="1">
        <v>2</v>
      </c>
      <c r="P103" s="1">
        <v>1</v>
      </c>
      <c r="Q103" s="1">
        <v>2</v>
      </c>
      <c r="R103" s="27">
        <f t="shared" si="18"/>
        <v>1.75</v>
      </c>
      <c r="S103" s="28" t="str">
        <f t="shared" si="19"/>
        <v>Mala</v>
      </c>
      <c r="T103" s="28">
        <f t="shared" si="20"/>
        <v>1</v>
      </c>
      <c r="U103" s="32">
        <f t="shared" si="21"/>
        <v>2</v>
      </c>
      <c r="V103" s="32" t="str">
        <f t="shared" si="22"/>
        <v>Mala</v>
      </c>
      <c r="W103" s="32">
        <f t="shared" si="23"/>
        <v>1</v>
      </c>
      <c r="X103" s="34">
        <f t="shared" si="24"/>
        <v>1.5</v>
      </c>
      <c r="Y103" s="34" t="str">
        <f t="shared" si="25"/>
        <v>Mala</v>
      </c>
      <c r="Z103" s="34">
        <f t="shared" si="26"/>
        <v>1</v>
      </c>
      <c r="AA103" s="36">
        <f t="shared" si="27"/>
        <v>1.75</v>
      </c>
      <c r="AB103" s="36" t="str">
        <f t="shared" si="28"/>
        <v>Mala</v>
      </c>
      <c r="AC103" s="36">
        <f t="shared" si="29"/>
        <v>1</v>
      </c>
      <c r="AD103" s="37">
        <f t="shared" si="30"/>
        <v>1.75</v>
      </c>
      <c r="AE103" s="38" t="str">
        <f t="shared" si="31"/>
        <v>Mala</v>
      </c>
      <c r="AF103" s="38">
        <f t="shared" si="32"/>
        <v>1</v>
      </c>
    </row>
    <row r="104" spans="1:32" x14ac:dyDescent="0.25">
      <c r="A104" t="s">
        <v>118</v>
      </c>
      <c r="B104" s="1">
        <v>3</v>
      </c>
      <c r="C104" s="1">
        <v>2</v>
      </c>
      <c r="D104" s="1">
        <v>2</v>
      </c>
      <c r="E104" s="1">
        <v>2</v>
      </c>
      <c r="F104" s="1">
        <v>3</v>
      </c>
      <c r="G104" s="1">
        <v>2</v>
      </c>
      <c r="H104" s="1">
        <v>2</v>
      </c>
      <c r="I104" s="1">
        <v>1</v>
      </c>
      <c r="J104" s="1">
        <v>2</v>
      </c>
      <c r="K104" s="1">
        <v>2</v>
      </c>
      <c r="L104" s="1">
        <v>2</v>
      </c>
      <c r="M104" s="1">
        <v>2</v>
      </c>
      <c r="N104" s="1">
        <v>2</v>
      </c>
      <c r="O104" s="1">
        <v>3</v>
      </c>
      <c r="P104" s="1">
        <v>2</v>
      </c>
      <c r="Q104" s="1">
        <v>2</v>
      </c>
      <c r="R104" s="27">
        <f t="shared" si="18"/>
        <v>2.25</v>
      </c>
      <c r="S104" s="28" t="str">
        <f t="shared" si="19"/>
        <v>Mala</v>
      </c>
      <c r="T104" s="28">
        <f t="shared" si="20"/>
        <v>1</v>
      </c>
      <c r="U104" s="32">
        <f t="shared" si="21"/>
        <v>2</v>
      </c>
      <c r="V104" s="32" t="str">
        <f t="shared" si="22"/>
        <v>Mala</v>
      </c>
      <c r="W104" s="32">
        <f t="shared" si="23"/>
        <v>1</v>
      </c>
      <c r="X104" s="34">
        <f t="shared" si="24"/>
        <v>2</v>
      </c>
      <c r="Y104" s="34" t="str">
        <f t="shared" si="25"/>
        <v>Mala</v>
      </c>
      <c r="Z104" s="34">
        <f t="shared" si="26"/>
        <v>1</v>
      </c>
      <c r="AA104" s="36">
        <f t="shared" si="27"/>
        <v>2.25</v>
      </c>
      <c r="AB104" s="36" t="str">
        <f t="shared" si="28"/>
        <v>Mala</v>
      </c>
      <c r="AC104" s="36">
        <f t="shared" si="29"/>
        <v>1</v>
      </c>
      <c r="AD104" s="37">
        <f t="shared" si="30"/>
        <v>2.125</v>
      </c>
      <c r="AE104" s="38" t="str">
        <f t="shared" si="31"/>
        <v>Mala</v>
      </c>
      <c r="AF104" s="38">
        <f t="shared" si="32"/>
        <v>1</v>
      </c>
    </row>
    <row r="105" spans="1:32" x14ac:dyDescent="0.25">
      <c r="A105" t="s">
        <v>119</v>
      </c>
      <c r="B105" s="1">
        <v>5</v>
      </c>
      <c r="C105" s="1">
        <v>4</v>
      </c>
      <c r="D105" s="1">
        <v>4</v>
      </c>
      <c r="E105" s="1">
        <v>3</v>
      </c>
      <c r="F105" s="1">
        <v>4</v>
      </c>
      <c r="G105" s="1">
        <v>3</v>
      </c>
      <c r="H105" s="1">
        <v>5</v>
      </c>
      <c r="I105" s="1">
        <v>3</v>
      </c>
      <c r="J105" s="1">
        <v>3</v>
      </c>
      <c r="K105" s="1">
        <v>3</v>
      </c>
      <c r="L105" s="1">
        <v>5</v>
      </c>
      <c r="M105" s="1">
        <v>5</v>
      </c>
      <c r="N105" s="1">
        <v>5</v>
      </c>
      <c r="O105" s="1">
        <v>4</v>
      </c>
      <c r="P105" s="1">
        <v>3</v>
      </c>
      <c r="Q105" s="1">
        <v>5</v>
      </c>
      <c r="R105" s="27">
        <f t="shared" si="18"/>
        <v>4</v>
      </c>
      <c r="S105" s="28" t="str">
        <f t="shared" si="19"/>
        <v>Buena</v>
      </c>
      <c r="T105" s="28">
        <f t="shared" si="20"/>
        <v>3</v>
      </c>
      <c r="U105" s="32">
        <f t="shared" si="21"/>
        <v>3.75</v>
      </c>
      <c r="V105" s="32" t="str">
        <f t="shared" si="22"/>
        <v>Buena</v>
      </c>
      <c r="W105" s="32">
        <f t="shared" si="23"/>
        <v>3</v>
      </c>
      <c r="X105" s="34">
        <f t="shared" si="24"/>
        <v>4</v>
      </c>
      <c r="Y105" s="34" t="str">
        <f t="shared" si="25"/>
        <v>Buena</v>
      </c>
      <c r="Z105" s="34">
        <f t="shared" si="26"/>
        <v>3</v>
      </c>
      <c r="AA105" s="36">
        <f t="shared" si="27"/>
        <v>4.25</v>
      </c>
      <c r="AB105" s="36" t="str">
        <f t="shared" si="28"/>
        <v>Buena</v>
      </c>
      <c r="AC105" s="36">
        <f t="shared" si="29"/>
        <v>3</v>
      </c>
      <c r="AD105" s="37">
        <f t="shared" si="30"/>
        <v>4</v>
      </c>
      <c r="AE105" s="38" t="str">
        <f t="shared" si="31"/>
        <v>Buena</v>
      </c>
      <c r="AF105" s="38">
        <f t="shared" si="32"/>
        <v>3</v>
      </c>
    </row>
    <row r="106" spans="1:32" x14ac:dyDescent="0.25">
      <c r="A106" t="s">
        <v>120</v>
      </c>
      <c r="B106" s="1">
        <v>3</v>
      </c>
      <c r="C106" s="1">
        <v>3</v>
      </c>
      <c r="D106" s="1">
        <v>2</v>
      </c>
      <c r="E106" s="1">
        <v>3</v>
      </c>
      <c r="F106" s="1">
        <v>3</v>
      </c>
      <c r="G106" s="1">
        <v>3</v>
      </c>
      <c r="H106" s="1">
        <v>2</v>
      </c>
      <c r="I106" s="1">
        <v>3</v>
      </c>
      <c r="J106" s="1">
        <v>2</v>
      </c>
      <c r="K106" s="1">
        <v>3</v>
      </c>
      <c r="L106" s="1">
        <v>2</v>
      </c>
      <c r="M106" s="1">
        <v>2</v>
      </c>
      <c r="N106" s="1">
        <v>3</v>
      </c>
      <c r="O106" s="1">
        <v>3</v>
      </c>
      <c r="P106" s="1">
        <v>2</v>
      </c>
      <c r="Q106" s="1">
        <v>2</v>
      </c>
      <c r="R106" s="27">
        <f t="shared" si="18"/>
        <v>2.75</v>
      </c>
      <c r="S106" s="28" t="str">
        <f t="shared" si="19"/>
        <v>Regular</v>
      </c>
      <c r="T106" s="28">
        <f t="shared" si="20"/>
        <v>2</v>
      </c>
      <c r="U106" s="32">
        <f t="shared" si="21"/>
        <v>2.75</v>
      </c>
      <c r="V106" s="32" t="str">
        <f t="shared" si="22"/>
        <v>Regular</v>
      </c>
      <c r="W106" s="32">
        <f t="shared" si="23"/>
        <v>2</v>
      </c>
      <c r="X106" s="34">
        <f t="shared" si="24"/>
        <v>2.25</v>
      </c>
      <c r="Y106" s="34" t="str">
        <f t="shared" si="25"/>
        <v>Mala</v>
      </c>
      <c r="Z106" s="34">
        <f t="shared" si="26"/>
        <v>1</v>
      </c>
      <c r="AA106" s="36">
        <f t="shared" si="27"/>
        <v>2.5</v>
      </c>
      <c r="AB106" s="36" t="str">
        <f t="shared" si="28"/>
        <v>Regular</v>
      </c>
      <c r="AC106" s="36">
        <f t="shared" si="29"/>
        <v>2</v>
      </c>
      <c r="AD106" s="37">
        <f t="shared" si="30"/>
        <v>2.5625</v>
      </c>
      <c r="AE106" s="38" t="str">
        <f t="shared" si="31"/>
        <v>Regular</v>
      </c>
      <c r="AF106" s="38">
        <f t="shared" si="32"/>
        <v>2</v>
      </c>
    </row>
    <row r="107" spans="1:32" x14ac:dyDescent="0.25">
      <c r="A107" t="s">
        <v>121</v>
      </c>
      <c r="B107" s="1">
        <v>2</v>
      </c>
      <c r="C107" s="1">
        <v>4</v>
      </c>
      <c r="D107" s="1">
        <v>4</v>
      </c>
      <c r="E107" s="1">
        <v>4</v>
      </c>
      <c r="F107" s="1">
        <v>3</v>
      </c>
      <c r="G107" s="1">
        <v>2</v>
      </c>
      <c r="H107" s="1">
        <v>3</v>
      </c>
      <c r="I107" s="1">
        <v>4</v>
      </c>
      <c r="J107" s="1">
        <v>4</v>
      </c>
      <c r="K107" s="1">
        <v>2</v>
      </c>
      <c r="L107" s="1">
        <v>3</v>
      </c>
      <c r="M107" s="1">
        <v>3</v>
      </c>
      <c r="N107" s="1">
        <v>4</v>
      </c>
      <c r="O107" s="1">
        <v>2</v>
      </c>
      <c r="P107" s="1">
        <v>4</v>
      </c>
      <c r="Q107" s="1">
        <v>3</v>
      </c>
      <c r="R107" s="27">
        <f t="shared" si="18"/>
        <v>3.5</v>
      </c>
      <c r="S107" s="28" t="str">
        <f t="shared" si="19"/>
        <v>Regular</v>
      </c>
      <c r="T107" s="28">
        <f t="shared" si="20"/>
        <v>2</v>
      </c>
      <c r="U107" s="32">
        <f t="shared" si="21"/>
        <v>3</v>
      </c>
      <c r="V107" s="32" t="str">
        <f t="shared" si="22"/>
        <v>Regular</v>
      </c>
      <c r="W107" s="32">
        <f t="shared" si="23"/>
        <v>2</v>
      </c>
      <c r="X107" s="34">
        <f t="shared" si="24"/>
        <v>3</v>
      </c>
      <c r="Y107" s="34" t="str">
        <f t="shared" si="25"/>
        <v>Regular</v>
      </c>
      <c r="Z107" s="34">
        <f t="shared" si="26"/>
        <v>2</v>
      </c>
      <c r="AA107" s="36">
        <f t="shared" si="27"/>
        <v>3.25</v>
      </c>
      <c r="AB107" s="36" t="str">
        <f t="shared" si="28"/>
        <v>Regular</v>
      </c>
      <c r="AC107" s="36">
        <f t="shared" si="29"/>
        <v>2</v>
      </c>
      <c r="AD107" s="37">
        <f t="shared" si="30"/>
        <v>3.1875</v>
      </c>
      <c r="AE107" s="38" t="str">
        <f t="shared" si="31"/>
        <v>Regular</v>
      </c>
      <c r="AF107" s="38">
        <f t="shared" si="32"/>
        <v>2</v>
      </c>
    </row>
    <row r="108" spans="1:32" x14ac:dyDescent="0.25">
      <c r="A108" t="s">
        <v>122</v>
      </c>
      <c r="B108" s="1">
        <v>4</v>
      </c>
      <c r="C108" s="1">
        <v>4</v>
      </c>
      <c r="D108" s="1">
        <v>3</v>
      </c>
      <c r="E108" s="1">
        <v>3</v>
      </c>
      <c r="F108" s="1">
        <v>5</v>
      </c>
      <c r="G108" s="1">
        <v>3</v>
      </c>
      <c r="H108" s="1">
        <v>5</v>
      </c>
      <c r="I108" s="1">
        <v>4</v>
      </c>
      <c r="J108" s="1">
        <v>3</v>
      </c>
      <c r="K108" s="1">
        <v>4</v>
      </c>
      <c r="L108" s="1">
        <v>5</v>
      </c>
      <c r="M108" s="1">
        <v>3</v>
      </c>
      <c r="N108" s="1">
        <v>4</v>
      </c>
      <c r="O108" s="1">
        <v>3</v>
      </c>
      <c r="P108" s="1">
        <v>5</v>
      </c>
      <c r="Q108" s="1">
        <v>5</v>
      </c>
      <c r="R108" s="27">
        <f t="shared" si="18"/>
        <v>3.5</v>
      </c>
      <c r="S108" s="28" t="str">
        <f t="shared" si="19"/>
        <v>Regular</v>
      </c>
      <c r="T108" s="28">
        <f t="shared" si="20"/>
        <v>2</v>
      </c>
      <c r="U108" s="32">
        <f t="shared" si="21"/>
        <v>4.25</v>
      </c>
      <c r="V108" s="32" t="str">
        <f t="shared" si="22"/>
        <v>Buena</v>
      </c>
      <c r="W108" s="32">
        <f t="shared" si="23"/>
        <v>3</v>
      </c>
      <c r="X108" s="34">
        <f t="shared" si="24"/>
        <v>3.75</v>
      </c>
      <c r="Y108" s="34" t="str">
        <f t="shared" si="25"/>
        <v>Buena</v>
      </c>
      <c r="Z108" s="34">
        <f t="shared" si="26"/>
        <v>3</v>
      </c>
      <c r="AA108" s="36">
        <f t="shared" si="27"/>
        <v>4.25</v>
      </c>
      <c r="AB108" s="36" t="str">
        <f t="shared" si="28"/>
        <v>Buena</v>
      </c>
      <c r="AC108" s="36">
        <f t="shared" si="29"/>
        <v>3</v>
      </c>
      <c r="AD108" s="37">
        <f t="shared" si="30"/>
        <v>3.9375</v>
      </c>
      <c r="AE108" s="38" t="str">
        <f t="shared" si="31"/>
        <v>Buena</v>
      </c>
      <c r="AF108" s="38">
        <f t="shared" si="32"/>
        <v>3</v>
      </c>
    </row>
    <row r="109" spans="1:32" x14ac:dyDescent="0.25">
      <c r="A109" t="s">
        <v>123</v>
      </c>
      <c r="B109" s="1">
        <v>3</v>
      </c>
      <c r="C109" s="1">
        <v>3</v>
      </c>
      <c r="D109" s="1">
        <v>3</v>
      </c>
      <c r="E109" s="1">
        <v>3</v>
      </c>
      <c r="F109" s="1">
        <v>2</v>
      </c>
      <c r="G109" s="1">
        <v>2</v>
      </c>
      <c r="H109" s="1">
        <v>1</v>
      </c>
      <c r="I109" s="1">
        <v>2</v>
      </c>
      <c r="J109" s="1">
        <v>2</v>
      </c>
      <c r="K109" s="1">
        <v>3</v>
      </c>
      <c r="L109" s="1">
        <v>2</v>
      </c>
      <c r="M109" s="1">
        <v>1</v>
      </c>
      <c r="N109" s="1">
        <v>1</v>
      </c>
      <c r="O109" s="1">
        <v>2</v>
      </c>
      <c r="P109" s="1">
        <v>2</v>
      </c>
      <c r="Q109" s="1">
        <v>2</v>
      </c>
      <c r="R109" s="27">
        <f t="shared" si="18"/>
        <v>3</v>
      </c>
      <c r="S109" s="28" t="str">
        <f t="shared" si="19"/>
        <v>Regular</v>
      </c>
      <c r="T109" s="28">
        <f t="shared" si="20"/>
        <v>2</v>
      </c>
      <c r="U109" s="32">
        <f t="shared" si="21"/>
        <v>1.75</v>
      </c>
      <c r="V109" s="32" t="str">
        <f t="shared" si="22"/>
        <v>Mala</v>
      </c>
      <c r="W109" s="32">
        <f t="shared" si="23"/>
        <v>1</v>
      </c>
      <c r="X109" s="34">
        <f t="shared" si="24"/>
        <v>2</v>
      </c>
      <c r="Y109" s="34" t="str">
        <f t="shared" si="25"/>
        <v>Mala</v>
      </c>
      <c r="Z109" s="34">
        <f t="shared" si="26"/>
        <v>1</v>
      </c>
      <c r="AA109" s="36">
        <f t="shared" si="27"/>
        <v>1.75</v>
      </c>
      <c r="AB109" s="36" t="str">
        <f t="shared" si="28"/>
        <v>Mala</v>
      </c>
      <c r="AC109" s="36">
        <f t="shared" si="29"/>
        <v>1</v>
      </c>
      <c r="AD109" s="37">
        <f t="shared" si="30"/>
        <v>2.125</v>
      </c>
      <c r="AE109" s="38" t="str">
        <f t="shared" si="31"/>
        <v>Mala</v>
      </c>
      <c r="AF109" s="38">
        <f t="shared" si="32"/>
        <v>1</v>
      </c>
    </row>
    <row r="110" spans="1:32" x14ac:dyDescent="0.25">
      <c r="A110" t="s">
        <v>124</v>
      </c>
      <c r="B110" s="1">
        <v>4</v>
      </c>
      <c r="C110" s="1">
        <v>3</v>
      </c>
      <c r="D110" s="1">
        <v>3</v>
      </c>
      <c r="E110" s="1">
        <v>3</v>
      </c>
      <c r="F110" s="1">
        <v>3</v>
      </c>
      <c r="G110" s="1">
        <v>4</v>
      </c>
      <c r="H110" s="1">
        <v>4</v>
      </c>
      <c r="I110" s="1">
        <v>3</v>
      </c>
      <c r="J110" s="1">
        <v>4</v>
      </c>
      <c r="K110" s="1">
        <v>3</v>
      </c>
      <c r="L110" s="1">
        <v>4</v>
      </c>
      <c r="M110" s="1">
        <v>2</v>
      </c>
      <c r="N110" s="1">
        <v>3</v>
      </c>
      <c r="O110" s="1">
        <v>2</v>
      </c>
      <c r="P110" s="1">
        <v>4</v>
      </c>
      <c r="Q110" s="1">
        <v>4</v>
      </c>
      <c r="R110" s="27">
        <f t="shared" si="18"/>
        <v>3.25</v>
      </c>
      <c r="S110" s="28" t="str">
        <f t="shared" si="19"/>
        <v>Regular</v>
      </c>
      <c r="T110" s="28">
        <f t="shared" si="20"/>
        <v>2</v>
      </c>
      <c r="U110" s="32">
        <f t="shared" si="21"/>
        <v>3.5</v>
      </c>
      <c r="V110" s="32" t="str">
        <f t="shared" si="22"/>
        <v>Regular</v>
      </c>
      <c r="W110" s="32">
        <f t="shared" si="23"/>
        <v>2</v>
      </c>
      <c r="X110" s="34">
        <f t="shared" si="24"/>
        <v>3.25</v>
      </c>
      <c r="Y110" s="34" t="str">
        <f t="shared" si="25"/>
        <v>Regular</v>
      </c>
      <c r="Z110" s="34">
        <f t="shared" si="26"/>
        <v>2</v>
      </c>
      <c r="AA110" s="36">
        <f t="shared" si="27"/>
        <v>3.25</v>
      </c>
      <c r="AB110" s="36" t="str">
        <f t="shared" si="28"/>
        <v>Regular</v>
      </c>
      <c r="AC110" s="36">
        <f t="shared" si="29"/>
        <v>2</v>
      </c>
      <c r="AD110" s="37">
        <f t="shared" si="30"/>
        <v>3.3125</v>
      </c>
      <c r="AE110" s="38" t="str">
        <f t="shared" si="31"/>
        <v>Regular</v>
      </c>
      <c r="AF110" s="38">
        <f t="shared" si="32"/>
        <v>2</v>
      </c>
    </row>
    <row r="111" spans="1:32" x14ac:dyDescent="0.25">
      <c r="A111" t="s">
        <v>125</v>
      </c>
      <c r="B111" s="1">
        <v>3</v>
      </c>
      <c r="C111" s="1">
        <v>3</v>
      </c>
      <c r="D111" s="1">
        <v>2</v>
      </c>
      <c r="E111" s="1">
        <v>3</v>
      </c>
      <c r="F111" s="1">
        <v>3</v>
      </c>
      <c r="G111" s="1">
        <v>2</v>
      </c>
      <c r="H111" s="1">
        <v>2</v>
      </c>
      <c r="I111" s="1">
        <v>2</v>
      </c>
      <c r="J111" s="1">
        <v>2</v>
      </c>
      <c r="K111" s="1">
        <v>3</v>
      </c>
      <c r="L111" s="1">
        <v>3</v>
      </c>
      <c r="M111" s="1">
        <v>3</v>
      </c>
      <c r="N111" s="1">
        <v>2</v>
      </c>
      <c r="O111" s="1">
        <v>3</v>
      </c>
      <c r="P111" s="1">
        <v>2</v>
      </c>
      <c r="Q111" s="1">
        <v>3</v>
      </c>
      <c r="R111" s="27">
        <f t="shared" si="18"/>
        <v>2.75</v>
      </c>
      <c r="S111" s="28" t="str">
        <f t="shared" si="19"/>
        <v>Regular</v>
      </c>
      <c r="T111" s="28">
        <f t="shared" si="20"/>
        <v>2</v>
      </c>
      <c r="U111" s="32">
        <f t="shared" si="21"/>
        <v>2.25</v>
      </c>
      <c r="V111" s="32" t="str">
        <f t="shared" si="22"/>
        <v>Mala</v>
      </c>
      <c r="W111" s="32">
        <f t="shared" si="23"/>
        <v>1</v>
      </c>
      <c r="X111" s="34">
        <f t="shared" si="24"/>
        <v>2.75</v>
      </c>
      <c r="Y111" s="34" t="str">
        <f t="shared" si="25"/>
        <v>Regular</v>
      </c>
      <c r="Z111" s="34">
        <f t="shared" si="26"/>
        <v>2</v>
      </c>
      <c r="AA111" s="36">
        <f t="shared" si="27"/>
        <v>2.5</v>
      </c>
      <c r="AB111" s="36" t="str">
        <f t="shared" si="28"/>
        <v>Regular</v>
      </c>
      <c r="AC111" s="36">
        <f t="shared" si="29"/>
        <v>2</v>
      </c>
      <c r="AD111" s="37">
        <f t="shared" si="30"/>
        <v>2.5625</v>
      </c>
      <c r="AE111" s="38" t="str">
        <f t="shared" si="31"/>
        <v>Regular</v>
      </c>
      <c r="AF111" s="38">
        <f t="shared" si="32"/>
        <v>2</v>
      </c>
    </row>
    <row r="112" spans="1:32" x14ac:dyDescent="0.25">
      <c r="A112" t="s">
        <v>126</v>
      </c>
      <c r="B112" s="1">
        <v>4</v>
      </c>
      <c r="C112" s="1">
        <v>5</v>
      </c>
      <c r="D112" s="1">
        <v>4</v>
      </c>
      <c r="E112" s="1">
        <v>5</v>
      </c>
      <c r="F112" s="1">
        <v>4</v>
      </c>
      <c r="G112" s="1">
        <v>5</v>
      </c>
      <c r="H112" s="1">
        <v>3</v>
      </c>
      <c r="I112" s="1">
        <v>3</v>
      </c>
      <c r="J112" s="1">
        <v>3</v>
      </c>
      <c r="K112" s="1">
        <v>3</v>
      </c>
      <c r="L112" s="1">
        <v>5</v>
      </c>
      <c r="M112" s="1">
        <v>4</v>
      </c>
      <c r="N112" s="1">
        <v>5</v>
      </c>
      <c r="O112" s="1">
        <v>4</v>
      </c>
      <c r="P112" s="1">
        <v>5</v>
      </c>
      <c r="Q112" s="1">
        <v>4</v>
      </c>
      <c r="R112" s="27">
        <f t="shared" si="18"/>
        <v>4.5</v>
      </c>
      <c r="S112" s="28" t="str">
        <f t="shared" si="19"/>
        <v>Buena</v>
      </c>
      <c r="T112" s="28">
        <f t="shared" si="20"/>
        <v>3</v>
      </c>
      <c r="U112" s="32">
        <f t="shared" si="21"/>
        <v>3.75</v>
      </c>
      <c r="V112" s="32" t="str">
        <f t="shared" si="22"/>
        <v>Buena</v>
      </c>
      <c r="W112" s="32">
        <f t="shared" si="23"/>
        <v>3</v>
      </c>
      <c r="X112" s="34">
        <f t="shared" si="24"/>
        <v>3.75</v>
      </c>
      <c r="Y112" s="34" t="str">
        <f t="shared" si="25"/>
        <v>Buena</v>
      </c>
      <c r="Z112" s="34">
        <f t="shared" si="26"/>
        <v>3</v>
      </c>
      <c r="AA112" s="36">
        <f t="shared" si="27"/>
        <v>4.5</v>
      </c>
      <c r="AB112" s="36" t="str">
        <f t="shared" si="28"/>
        <v>Buena</v>
      </c>
      <c r="AC112" s="36">
        <f t="shared" si="29"/>
        <v>3</v>
      </c>
      <c r="AD112" s="37">
        <f t="shared" si="30"/>
        <v>4.125</v>
      </c>
      <c r="AE112" s="38" t="str">
        <f t="shared" si="31"/>
        <v>Buena</v>
      </c>
      <c r="AF112" s="38">
        <f t="shared" si="32"/>
        <v>3</v>
      </c>
    </row>
    <row r="113" spans="1:32" x14ac:dyDescent="0.25">
      <c r="A113" t="s">
        <v>127</v>
      </c>
      <c r="B113" s="1">
        <v>3</v>
      </c>
      <c r="C113" s="1">
        <v>3</v>
      </c>
      <c r="D113" s="1">
        <v>3</v>
      </c>
      <c r="E113" s="1">
        <v>2</v>
      </c>
      <c r="F113" s="1">
        <v>3</v>
      </c>
      <c r="G113" s="1">
        <v>2</v>
      </c>
      <c r="H113" s="1">
        <v>2</v>
      </c>
      <c r="I113" s="1">
        <v>3</v>
      </c>
      <c r="J113" s="1">
        <v>2</v>
      </c>
      <c r="K113" s="1">
        <v>3</v>
      </c>
      <c r="L113" s="1">
        <v>2</v>
      </c>
      <c r="M113" s="1">
        <v>3</v>
      </c>
      <c r="N113" s="1">
        <v>3</v>
      </c>
      <c r="O113" s="1">
        <v>3</v>
      </c>
      <c r="P113" s="1">
        <v>3</v>
      </c>
      <c r="Q113" s="1">
        <v>3</v>
      </c>
      <c r="R113" s="27">
        <f t="shared" si="18"/>
        <v>2.75</v>
      </c>
      <c r="S113" s="28" t="str">
        <f t="shared" si="19"/>
        <v>Regular</v>
      </c>
      <c r="T113" s="28">
        <f t="shared" si="20"/>
        <v>2</v>
      </c>
      <c r="U113" s="32">
        <f t="shared" si="21"/>
        <v>2.5</v>
      </c>
      <c r="V113" s="32" t="str">
        <f t="shared" si="22"/>
        <v>Regular</v>
      </c>
      <c r="W113" s="32">
        <f t="shared" si="23"/>
        <v>2</v>
      </c>
      <c r="X113" s="34">
        <f t="shared" si="24"/>
        <v>2.5</v>
      </c>
      <c r="Y113" s="34" t="str">
        <f t="shared" si="25"/>
        <v>Regular</v>
      </c>
      <c r="Z113" s="34">
        <f t="shared" si="26"/>
        <v>2</v>
      </c>
      <c r="AA113" s="36">
        <f t="shared" si="27"/>
        <v>3</v>
      </c>
      <c r="AB113" s="36" t="str">
        <f t="shared" si="28"/>
        <v>Regular</v>
      </c>
      <c r="AC113" s="36">
        <f t="shared" si="29"/>
        <v>2</v>
      </c>
      <c r="AD113" s="37">
        <f t="shared" si="30"/>
        <v>2.6875</v>
      </c>
      <c r="AE113" s="38" t="str">
        <f t="shared" si="31"/>
        <v>Regular</v>
      </c>
      <c r="AF113" s="38">
        <f t="shared" si="32"/>
        <v>2</v>
      </c>
    </row>
    <row r="114" spans="1:32" x14ac:dyDescent="0.25">
      <c r="A114" t="s">
        <v>128</v>
      </c>
      <c r="B114" s="1">
        <v>2</v>
      </c>
      <c r="C114" s="1">
        <v>2</v>
      </c>
      <c r="D114" s="1">
        <v>1</v>
      </c>
      <c r="E114" s="1">
        <v>2</v>
      </c>
      <c r="F114" s="1">
        <v>2</v>
      </c>
      <c r="G114" s="1">
        <v>2</v>
      </c>
      <c r="H114" s="1">
        <v>2</v>
      </c>
      <c r="I114" s="1">
        <v>1</v>
      </c>
      <c r="J114" s="1">
        <v>2</v>
      </c>
      <c r="K114" s="1">
        <v>2</v>
      </c>
      <c r="L114" s="1">
        <v>2</v>
      </c>
      <c r="M114" s="1">
        <v>1</v>
      </c>
      <c r="N114" s="1">
        <v>1</v>
      </c>
      <c r="O114" s="1">
        <v>1</v>
      </c>
      <c r="P114" s="1">
        <v>1</v>
      </c>
      <c r="Q114" s="1">
        <v>2</v>
      </c>
      <c r="R114" s="27">
        <f t="shared" si="18"/>
        <v>1.75</v>
      </c>
      <c r="S114" s="28" t="str">
        <f t="shared" si="19"/>
        <v>Mala</v>
      </c>
      <c r="T114" s="28">
        <f t="shared" si="20"/>
        <v>1</v>
      </c>
      <c r="U114" s="32">
        <f t="shared" si="21"/>
        <v>1.75</v>
      </c>
      <c r="V114" s="32" t="str">
        <f t="shared" si="22"/>
        <v>Mala</v>
      </c>
      <c r="W114" s="32">
        <f t="shared" si="23"/>
        <v>1</v>
      </c>
      <c r="X114" s="34">
        <f t="shared" si="24"/>
        <v>1.75</v>
      </c>
      <c r="Y114" s="34" t="str">
        <f t="shared" si="25"/>
        <v>Mala</v>
      </c>
      <c r="Z114" s="34">
        <f t="shared" si="26"/>
        <v>1</v>
      </c>
      <c r="AA114" s="36">
        <f t="shared" si="27"/>
        <v>1.25</v>
      </c>
      <c r="AB114" s="36" t="str">
        <f t="shared" si="28"/>
        <v>Mala</v>
      </c>
      <c r="AC114" s="36">
        <f t="shared" si="29"/>
        <v>1</v>
      </c>
      <c r="AD114" s="37">
        <f t="shared" si="30"/>
        <v>1.625</v>
      </c>
      <c r="AE114" s="38" t="str">
        <f t="shared" si="31"/>
        <v>Mala</v>
      </c>
      <c r="AF114" s="38">
        <f t="shared" si="32"/>
        <v>1</v>
      </c>
    </row>
    <row r="115" spans="1:32" x14ac:dyDescent="0.25">
      <c r="A115" t="s">
        <v>129</v>
      </c>
      <c r="B115" s="1">
        <v>4</v>
      </c>
      <c r="C115" s="1">
        <v>4</v>
      </c>
      <c r="D115" s="1">
        <v>4</v>
      </c>
      <c r="E115" s="1">
        <v>5</v>
      </c>
      <c r="F115" s="1">
        <v>5</v>
      </c>
      <c r="G115" s="1">
        <v>4</v>
      </c>
      <c r="H115" s="1">
        <v>3</v>
      </c>
      <c r="I115" s="1">
        <v>3</v>
      </c>
      <c r="J115" s="1">
        <v>4</v>
      </c>
      <c r="K115" s="1">
        <v>4</v>
      </c>
      <c r="L115" s="1">
        <v>3</v>
      </c>
      <c r="M115" s="1">
        <v>3</v>
      </c>
      <c r="N115" s="1">
        <v>5</v>
      </c>
      <c r="O115" s="1">
        <v>4</v>
      </c>
      <c r="P115" s="1">
        <v>3</v>
      </c>
      <c r="Q115" s="1">
        <v>4</v>
      </c>
      <c r="R115" s="27">
        <f t="shared" si="18"/>
        <v>4.25</v>
      </c>
      <c r="S115" s="28" t="str">
        <f t="shared" si="19"/>
        <v>Buena</v>
      </c>
      <c r="T115" s="28">
        <f t="shared" si="20"/>
        <v>3</v>
      </c>
      <c r="U115" s="32">
        <f t="shared" si="21"/>
        <v>3.75</v>
      </c>
      <c r="V115" s="32" t="str">
        <f t="shared" si="22"/>
        <v>Buena</v>
      </c>
      <c r="W115" s="32">
        <f t="shared" si="23"/>
        <v>3</v>
      </c>
      <c r="X115" s="34">
        <f t="shared" si="24"/>
        <v>3.5</v>
      </c>
      <c r="Y115" s="34" t="str">
        <f t="shared" si="25"/>
        <v>Regular</v>
      </c>
      <c r="Z115" s="34">
        <f t="shared" si="26"/>
        <v>2</v>
      </c>
      <c r="AA115" s="36">
        <f t="shared" si="27"/>
        <v>4</v>
      </c>
      <c r="AB115" s="36" t="str">
        <f t="shared" si="28"/>
        <v>Buena</v>
      </c>
      <c r="AC115" s="36">
        <f t="shared" si="29"/>
        <v>3</v>
      </c>
      <c r="AD115" s="37">
        <f t="shared" si="30"/>
        <v>3.875</v>
      </c>
      <c r="AE115" s="38" t="str">
        <f t="shared" si="31"/>
        <v>Buena</v>
      </c>
      <c r="AF115" s="38">
        <f t="shared" si="32"/>
        <v>3</v>
      </c>
    </row>
    <row r="116" spans="1:32" x14ac:dyDescent="0.25">
      <c r="A116" t="s">
        <v>130</v>
      </c>
      <c r="B116" s="1">
        <v>4</v>
      </c>
      <c r="C116" s="1">
        <v>2</v>
      </c>
      <c r="D116" s="1">
        <v>3</v>
      </c>
      <c r="E116" s="1">
        <v>3</v>
      </c>
      <c r="F116" s="1">
        <v>3</v>
      </c>
      <c r="G116" s="1">
        <v>4</v>
      </c>
      <c r="H116" s="1">
        <v>4</v>
      </c>
      <c r="I116" s="1">
        <v>3</v>
      </c>
      <c r="J116" s="1">
        <v>4</v>
      </c>
      <c r="K116" s="1">
        <v>4</v>
      </c>
      <c r="L116" s="1">
        <v>3</v>
      </c>
      <c r="M116" s="1">
        <v>4</v>
      </c>
      <c r="N116" s="1">
        <v>3</v>
      </c>
      <c r="O116" s="1">
        <v>4</v>
      </c>
      <c r="P116" s="1">
        <v>3</v>
      </c>
      <c r="Q116" s="1">
        <v>3</v>
      </c>
      <c r="R116" s="27">
        <f t="shared" si="18"/>
        <v>3</v>
      </c>
      <c r="S116" s="28" t="str">
        <f t="shared" si="19"/>
        <v>Regular</v>
      </c>
      <c r="T116" s="28">
        <f t="shared" si="20"/>
        <v>2</v>
      </c>
      <c r="U116" s="32">
        <f t="shared" si="21"/>
        <v>3.5</v>
      </c>
      <c r="V116" s="32" t="str">
        <f t="shared" si="22"/>
        <v>Regular</v>
      </c>
      <c r="W116" s="32">
        <f t="shared" si="23"/>
        <v>2</v>
      </c>
      <c r="X116" s="34">
        <f t="shared" si="24"/>
        <v>3.75</v>
      </c>
      <c r="Y116" s="34" t="str">
        <f t="shared" si="25"/>
        <v>Buena</v>
      </c>
      <c r="Z116" s="34">
        <f t="shared" si="26"/>
        <v>3</v>
      </c>
      <c r="AA116" s="36">
        <f t="shared" si="27"/>
        <v>3.25</v>
      </c>
      <c r="AB116" s="36" t="str">
        <f t="shared" si="28"/>
        <v>Regular</v>
      </c>
      <c r="AC116" s="36">
        <f t="shared" si="29"/>
        <v>2</v>
      </c>
      <c r="AD116" s="37">
        <f t="shared" si="30"/>
        <v>3.375</v>
      </c>
      <c r="AE116" s="38" t="str">
        <f t="shared" si="31"/>
        <v>Regular</v>
      </c>
      <c r="AF116" s="38">
        <f t="shared" si="32"/>
        <v>2</v>
      </c>
    </row>
    <row r="117" spans="1:32" x14ac:dyDescent="0.25">
      <c r="A117" t="s">
        <v>131</v>
      </c>
      <c r="B117" s="1">
        <v>2</v>
      </c>
      <c r="C117" s="1">
        <v>1</v>
      </c>
      <c r="D117" s="1">
        <v>1</v>
      </c>
      <c r="E117" s="1">
        <v>2</v>
      </c>
      <c r="F117" s="1">
        <v>2</v>
      </c>
      <c r="G117" s="1">
        <v>2</v>
      </c>
      <c r="H117" s="1">
        <v>2</v>
      </c>
      <c r="I117" s="1">
        <v>1</v>
      </c>
      <c r="J117" s="1">
        <v>2</v>
      </c>
      <c r="K117" s="1">
        <v>2</v>
      </c>
      <c r="L117" s="1">
        <v>2</v>
      </c>
      <c r="M117" s="1">
        <v>2</v>
      </c>
      <c r="N117" s="1">
        <v>1</v>
      </c>
      <c r="O117" s="1">
        <v>2</v>
      </c>
      <c r="P117" s="1">
        <v>2</v>
      </c>
      <c r="Q117" s="1">
        <v>2</v>
      </c>
      <c r="R117" s="27">
        <f t="shared" si="18"/>
        <v>1.5</v>
      </c>
      <c r="S117" s="28" t="str">
        <f t="shared" si="19"/>
        <v>Mala</v>
      </c>
      <c r="T117" s="28">
        <f t="shared" si="20"/>
        <v>1</v>
      </c>
      <c r="U117" s="32">
        <f t="shared" si="21"/>
        <v>1.75</v>
      </c>
      <c r="V117" s="32" t="str">
        <f t="shared" si="22"/>
        <v>Mala</v>
      </c>
      <c r="W117" s="32">
        <f t="shared" si="23"/>
        <v>1</v>
      </c>
      <c r="X117" s="34">
        <f t="shared" si="24"/>
        <v>2</v>
      </c>
      <c r="Y117" s="34" t="str">
        <f t="shared" si="25"/>
        <v>Mala</v>
      </c>
      <c r="Z117" s="34">
        <f t="shared" si="26"/>
        <v>1</v>
      </c>
      <c r="AA117" s="36">
        <f t="shared" si="27"/>
        <v>1.75</v>
      </c>
      <c r="AB117" s="36" t="str">
        <f t="shared" si="28"/>
        <v>Mala</v>
      </c>
      <c r="AC117" s="36">
        <f t="shared" si="29"/>
        <v>1</v>
      </c>
      <c r="AD117" s="37">
        <f t="shared" si="30"/>
        <v>1.75</v>
      </c>
      <c r="AE117" s="38" t="str">
        <f t="shared" si="31"/>
        <v>Mala</v>
      </c>
      <c r="AF117" s="38">
        <f t="shared" si="32"/>
        <v>1</v>
      </c>
    </row>
    <row r="118" spans="1:32" x14ac:dyDescent="0.25">
      <c r="A118" t="s">
        <v>132</v>
      </c>
      <c r="B118" s="1">
        <v>3</v>
      </c>
      <c r="C118" s="1">
        <v>5</v>
      </c>
      <c r="D118" s="1">
        <v>3</v>
      </c>
      <c r="E118" s="1">
        <v>3</v>
      </c>
      <c r="F118" s="1">
        <v>4</v>
      </c>
      <c r="G118" s="1">
        <v>4</v>
      </c>
      <c r="H118" s="1">
        <v>4</v>
      </c>
      <c r="I118" s="1">
        <v>3</v>
      </c>
      <c r="J118" s="1">
        <v>4</v>
      </c>
      <c r="K118" s="1">
        <v>4</v>
      </c>
      <c r="L118" s="1">
        <v>5</v>
      </c>
      <c r="M118" s="1">
        <v>4</v>
      </c>
      <c r="N118" s="1">
        <v>5</v>
      </c>
      <c r="O118" s="1">
        <v>4</v>
      </c>
      <c r="P118" s="1">
        <v>4</v>
      </c>
      <c r="Q118" s="1">
        <v>4</v>
      </c>
      <c r="R118" s="27">
        <f t="shared" si="18"/>
        <v>3.5</v>
      </c>
      <c r="S118" s="28" t="str">
        <f t="shared" si="19"/>
        <v>Regular</v>
      </c>
      <c r="T118" s="28">
        <f t="shared" si="20"/>
        <v>2</v>
      </c>
      <c r="U118" s="32">
        <f t="shared" si="21"/>
        <v>3.75</v>
      </c>
      <c r="V118" s="32" t="str">
        <f t="shared" si="22"/>
        <v>Buena</v>
      </c>
      <c r="W118" s="32">
        <f t="shared" si="23"/>
        <v>3</v>
      </c>
      <c r="X118" s="34">
        <f t="shared" si="24"/>
        <v>4.25</v>
      </c>
      <c r="Y118" s="34" t="str">
        <f t="shared" si="25"/>
        <v>Buena</v>
      </c>
      <c r="Z118" s="34">
        <f t="shared" si="26"/>
        <v>3</v>
      </c>
      <c r="AA118" s="36">
        <f t="shared" si="27"/>
        <v>4.25</v>
      </c>
      <c r="AB118" s="36" t="str">
        <f t="shared" si="28"/>
        <v>Buena</v>
      </c>
      <c r="AC118" s="36">
        <f t="shared" si="29"/>
        <v>3</v>
      </c>
      <c r="AD118" s="37">
        <f t="shared" si="30"/>
        <v>3.9375</v>
      </c>
      <c r="AE118" s="38" t="str">
        <f t="shared" si="31"/>
        <v>Buena</v>
      </c>
      <c r="AF118" s="38">
        <f t="shared" si="32"/>
        <v>3</v>
      </c>
    </row>
    <row r="119" spans="1:32" x14ac:dyDescent="0.25">
      <c r="A119" t="s">
        <v>133</v>
      </c>
      <c r="B119" s="1">
        <v>2</v>
      </c>
      <c r="C119" s="1">
        <v>1</v>
      </c>
      <c r="D119" s="1">
        <v>1</v>
      </c>
      <c r="E119" s="1">
        <v>2</v>
      </c>
      <c r="F119" s="1">
        <v>2</v>
      </c>
      <c r="G119" s="1">
        <v>2</v>
      </c>
      <c r="H119" s="1">
        <v>2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2</v>
      </c>
      <c r="Q119" s="1">
        <v>1</v>
      </c>
      <c r="R119" s="27">
        <f t="shared" si="18"/>
        <v>1.5</v>
      </c>
      <c r="S119" s="28" t="str">
        <f t="shared" si="19"/>
        <v>Mala</v>
      </c>
      <c r="T119" s="28">
        <f t="shared" si="20"/>
        <v>1</v>
      </c>
      <c r="U119" s="32">
        <f t="shared" si="21"/>
        <v>1.75</v>
      </c>
      <c r="V119" s="32" t="str">
        <f t="shared" si="22"/>
        <v>Mala</v>
      </c>
      <c r="W119" s="32">
        <f t="shared" si="23"/>
        <v>1</v>
      </c>
      <c r="X119" s="34">
        <f t="shared" si="24"/>
        <v>1</v>
      </c>
      <c r="Y119" s="34" t="str">
        <f t="shared" si="25"/>
        <v>Mala</v>
      </c>
      <c r="Z119" s="34">
        <f t="shared" si="26"/>
        <v>1</v>
      </c>
      <c r="AA119" s="36">
        <f t="shared" si="27"/>
        <v>1.25</v>
      </c>
      <c r="AB119" s="36" t="str">
        <f t="shared" si="28"/>
        <v>Mala</v>
      </c>
      <c r="AC119" s="36">
        <f t="shared" si="29"/>
        <v>1</v>
      </c>
      <c r="AD119" s="37">
        <f t="shared" si="30"/>
        <v>1.375</v>
      </c>
      <c r="AE119" s="38" t="str">
        <f t="shared" si="31"/>
        <v>Mala</v>
      </c>
      <c r="AF119" s="38">
        <f t="shared" si="32"/>
        <v>1</v>
      </c>
    </row>
    <row r="120" spans="1:32" x14ac:dyDescent="0.25">
      <c r="A120" t="s">
        <v>134</v>
      </c>
      <c r="B120" s="1">
        <v>2</v>
      </c>
      <c r="C120" s="1">
        <v>2</v>
      </c>
      <c r="D120" s="1">
        <v>2</v>
      </c>
      <c r="E120" s="1">
        <v>2</v>
      </c>
      <c r="F120" s="1">
        <v>3</v>
      </c>
      <c r="G120" s="1">
        <v>2</v>
      </c>
      <c r="H120" s="1">
        <v>2</v>
      </c>
      <c r="I120" s="1">
        <v>2</v>
      </c>
      <c r="J120" s="1">
        <v>3</v>
      </c>
      <c r="K120" s="1">
        <v>2</v>
      </c>
      <c r="L120" s="1">
        <v>3</v>
      </c>
      <c r="M120" s="1">
        <v>2</v>
      </c>
      <c r="N120" s="1">
        <v>3</v>
      </c>
      <c r="O120" s="1">
        <v>2</v>
      </c>
      <c r="P120" s="1">
        <v>2</v>
      </c>
      <c r="Q120" s="1">
        <v>2</v>
      </c>
      <c r="R120" s="27">
        <f t="shared" si="18"/>
        <v>2</v>
      </c>
      <c r="S120" s="28" t="str">
        <f t="shared" si="19"/>
        <v>Mala</v>
      </c>
      <c r="T120" s="28">
        <f t="shared" si="20"/>
        <v>1</v>
      </c>
      <c r="U120" s="32">
        <f t="shared" si="21"/>
        <v>2.25</v>
      </c>
      <c r="V120" s="32" t="str">
        <f t="shared" si="22"/>
        <v>Mala</v>
      </c>
      <c r="W120" s="32">
        <f t="shared" si="23"/>
        <v>1</v>
      </c>
      <c r="X120" s="34">
        <f t="shared" si="24"/>
        <v>2.5</v>
      </c>
      <c r="Y120" s="34" t="str">
        <f t="shared" si="25"/>
        <v>Regular</v>
      </c>
      <c r="Z120" s="34">
        <f t="shared" si="26"/>
        <v>2</v>
      </c>
      <c r="AA120" s="36">
        <f t="shared" si="27"/>
        <v>2.25</v>
      </c>
      <c r="AB120" s="36" t="str">
        <f t="shared" si="28"/>
        <v>Mala</v>
      </c>
      <c r="AC120" s="36">
        <f t="shared" si="29"/>
        <v>1</v>
      </c>
      <c r="AD120" s="37">
        <f t="shared" si="30"/>
        <v>2.25</v>
      </c>
      <c r="AE120" s="38" t="str">
        <f t="shared" si="31"/>
        <v>Mala</v>
      </c>
      <c r="AF120" s="38">
        <f t="shared" si="32"/>
        <v>1</v>
      </c>
    </row>
    <row r="121" spans="1:32" x14ac:dyDescent="0.25">
      <c r="A121" t="s">
        <v>135</v>
      </c>
      <c r="B121" s="1">
        <v>3</v>
      </c>
      <c r="C121" s="1">
        <v>2</v>
      </c>
      <c r="D121" s="1">
        <v>3</v>
      </c>
      <c r="E121" s="1">
        <v>3</v>
      </c>
      <c r="F121" s="1">
        <v>3</v>
      </c>
      <c r="G121" s="1">
        <v>3</v>
      </c>
      <c r="H121" s="1">
        <v>3</v>
      </c>
      <c r="I121" s="1">
        <v>3</v>
      </c>
      <c r="J121" s="1">
        <v>2</v>
      </c>
      <c r="K121" s="1">
        <v>3</v>
      </c>
      <c r="L121" s="1">
        <v>3</v>
      </c>
      <c r="M121" s="1">
        <v>2</v>
      </c>
      <c r="N121" s="1">
        <v>2</v>
      </c>
      <c r="O121" s="1">
        <v>3</v>
      </c>
      <c r="P121" s="1">
        <v>3</v>
      </c>
      <c r="Q121" s="1">
        <v>3</v>
      </c>
      <c r="R121" s="27">
        <f t="shared" si="18"/>
        <v>2.75</v>
      </c>
      <c r="S121" s="28" t="str">
        <f t="shared" si="19"/>
        <v>Regular</v>
      </c>
      <c r="T121" s="28">
        <f t="shared" si="20"/>
        <v>2</v>
      </c>
      <c r="U121" s="32">
        <f t="shared" si="21"/>
        <v>3</v>
      </c>
      <c r="V121" s="32" t="str">
        <f t="shared" si="22"/>
        <v>Regular</v>
      </c>
      <c r="W121" s="32">
        <f t="shared" si="23"/>
        <v>2</v>
      </c>
      <c r="X121" s="34">
        <f t="shared" si="24"/>
        <v>2.5</v>
      </c>
      <c r="Y121" s="34" t="str">
        <f t="shared" si="25"/>
        <v>Regular</v>
      </c>
      <c r="Z121" s="34">
        <f t="shared" si="26"/>
        <v>2</v>
      </c>
      <c r="AA121" s="36">
        <f t="shared" si="27"/>
        <v>2.75</v>
      </c>
      <c r="AB121" s="36" t="str">
        <f t="shared" si="28"/>
        <v>Regular</v>
      </c>
      <c r="AC121" s="36">
        <f t="shared" si="29"/>
        <v>2</v>
      </c>
      <c r="AD121" s="37">
        <f t="shared" si="30"/>
        <v>2.75</v>
      </c>
      <c r="AE121" s="38" t="str">
        <f t="shared" si="31"/>
        <v>Regular</v>
      </c>
      <c r="AF121" s="38">
        <f t="shared" si="32"/>
        <v>2</v>
      </c>
    </row>
    <row r="122" spans="1:32" x14ac:dyDescent="0.25">
      <c r="A122" t="s">
        <v>136</v>
      </c>
      <c r="B122" s="1">
        <v>2</v>
      </c>
      <c r="C122" s="1">
        <v>2</v>
      </c>
      <c r="D122" s="1">
        <v>2</v>
      </c>
      <c r="E122" s="1">
        <v>2</v>
      </c>
      <c r="F122" s="1">
        <v>2</v>
      </c>
      <c r="G122" s="1">
        <v>3</v>
      </c>
      <c r="H122" s="1">
        <v>2</v>
      </c>
      <c r="I122" s="1">
        <v>2</v>
      </c>
      <c r="J122" s="1">
        <v>2</v>
      </c>
      <c r="K122" s="1">
        <v>3</v>
      </c>
      <c r="L122" s="1">
        <v>2</v>
      </c>
      <c r="M122" s="1">
        <v>1</v>
      </c>
      <c r="N122" s="1">
        <v>3</v>
      </c>
      <c r="O122" s="1">
        <v>1</v>
      </c>
      <c r="P122" s="1">
        <v>2</v>
      </c>
      <c r="Q122" s="1">
        <v>3</v>
      </c>
      <c r="R122" s="27">
        <f t="shared" si="18"/>
        <v>2</v>
      </c>
      <c r="S122" s="28" t="str">
        <f t="shared" si="19"/>
        <v>Mala</v>
      </c>
      <c r="T122" s="28">
        <f t="shared" si="20"/>
        <v>1</v>
      </c>
      <c r="U122" s="32">
        <f t="shared" si="21"/>
        <v>2.25</v>
      </c>
      <c r="V122" s="32" t="str">
        <f t="shared" si="22"/>
        <v>Mala</v>
      </c>
      <c r="W122" s="32">
        <f t="shared" si="23"/>
        <v>1</v>
      </c>
      <c r="X122" s="34">
        <f t="shared" si="24"/>
        <v>2</v>
      </c>
      <c r="Y122" s="34" t="str">
        <f t="shared" si="25"/>
        <v>Mala</v>
      </c>
      <c r="Z122" s="34">
        <f t="shared" si="26"/>
        <v>1</v>
      </c>
      <c r="AA122" s="36">
        <f t="shared" si="27"/>
        <v>2.25</v>
      </c>
      <c r="AB122" s="36" t="str">
        <f t="shared" si="28"/>
        <v>Mala</v>
      </c>
      <c r="AC122" s="36">
        <f t="shared" si="29"/>
        <v>1</v>
      </c>
      <c r="AD122" s="37">
        <f t="shared" si="30"/>
        <v>2.125</v>
      </c>
      <c r="AE122" s="38" t="str">
        <f t="shared" si="31"/>
        <v>Mala</v>
      </c>
      <c r="AF122" s="38">
        <f t="shared" si="32"/>
        <v>1</v>
      </c>
    </row>
    <row r="123" spans="1:32" x14ac:dyDescent="0.25">
      <c r="A123" t="s">
        <v>137</v>
      </c>
      <c r="B123" s="1">
        <v>3</v>
      </c>
      <c r="C123" s="1">
        <v>2</v>
      </c>
      <c r="D123" s="1">
        <v>3</v>
      </c>
      <c r="E123" s="1">
        <v>3</v>
      </c>
      <c r="F123" s="1">
        <v>4</v>
      </c>
      <c r="G123" s="1">
        <v>2</v>
      </c>
      <c r="H123" s="1">
        <v>2</v>
      </c>
      <c r="I123" s="1">
        <v>2</v>
      </c>
      <c r="J123" s="1">
        <v>4</v>
      </c>
      <c r="K123" s="1">
        <v>2</v>
      </c>
      <c r="L123" s="1">
        <v>2</v>
      </c>
      <c r="M123" s="1">
        <v>2</v>
      </c>
      <c r="N123" s="1">
        <v>3</v>
      </c>
      <c r="O123" s="1">
        <v>2</v>
      </c>
      <c r="P123" s="1">
        <v>3</v>
      </c>
      <c r="Q123" s="1">
        <v>2</v>
      </c>
      <c r="R123" s="27">
        <f t="shared" si="18"/>
        <v>2.75</v>
      </c>
      <c r="S123" s="28" t="str">
        <f t="shared" si="19"/>
        <v>Regular</v>
      </c>
      <c r="T123" s="28">
        <f t="shared" si="20"/>
        <v>2</v>
      </c>
      <c r="U123" s="32">
        <f t="shared" si="21"/>
        <v>2.5</v>
      </c>
      <c r="V123" s="32" t="str">
        <f t="shared" si="22"/>
        <v>Regular</v>
      </c>
      <c r="W123" s="32">
        <f t="shared" si="23"/>
        <v>2</v>
      </c>
      <c r="X123" s="34">
        <f t="shared" si="24"/>
        <v>2.5</v>
      </c>
      <c r="Y123" s="34" t="str">
        <f t="shared" si="25"/>
        <v>Regular</v>
      </c>
      <c r="Z123" s="34">
        <f t="shared" si="26"/>
        <v>2</v>
      </c>
      <c r="AA123" s="36">
        <f t="shared" si="27"/>
        <v>2.5</v>
      </c>
      <c r="AB123" s="36" t="str">
        <f t="shared" si="28"/>
        <v>Regular</v>
      </c>
      <c r="AC123" s="36">
        <f t="shared" si="29"/>
        <v>2</v>
      </c>
      <c r="AD123" s="37">
        <f t="shared" si="30"/>
        <v>2.5625</v>
      </c>
      <c r="AE123" s="38" t="str">
        <f t="shared" si="31"/>
        <v>Regular</v>
      </c>
      <c r="AF123" s="38">
        <f t="shared" si="32"/>
        <v>2</v>
      </c>
    </row>
    <row r="124" spans="1:32" x14ac:dyDescent="0.25">
      <c r="A124" t="s">
        <v>138</v>
      </c>
      <c r="B124" s="1">
        <v>2</v>
      </c>
      <c r="C124" s="1">
        <v>1</v>
      </c>
      <c r="D124" s="1">
        <v>1</v>
      </c>
      <c r="E124" s="1">
        <v>2</v>
      </c>
      <c r="F124" s="1">
        <v>2</v>
      </c>
      <c r="G124" s="1">
        <v>1</v>
      </c>
      <c r="H124" s="1">
        <v>1</v>
      </c>
      <c r="I124" s="1">
        <v>2</v>
      </c>
      <c r="J124" s="1">
        <v>2</v>
      </c>
      <c r="K124" s="1">
        <v>2</v>
      </c>
      <c r="L124" s="1">
        <v>2</v>
      </c>
      <c r="M124" s="1">
        <v>2</v>
      </c>
      <c r="N124" s="1">
        <v>2</v>
      </c>
      <c r="O124" s="1">
        <v>1</v>
      </c>
      <c r="P124" s="1">
        <v>2</v>
      </c>
      <c r="Q124" s="1">
        <v>1</v>
      </c>
      <c r="R124" s="27">
        <f t="shared" si="18"/>
        <v>1.5</v>
      </c>
      <c r="S124" s="28" t="str">
        <f t="shared" si="19"/>
        <v>Mala</v>
      </c>
      <c r="T124" s="28">
        <f t="shared" si="20"/>
        <v>1</v>
      </c>
      <c r="U124" s="32">
        <f t="shared" si="21"/>
        <v>1.5</v>
      </c>
      <c r="V124" s="32" t="str">
        <f t="shared" si="22"/>
        <v>Mala</v>
      </c>
      <c r="W124" s="32">
        <f t="shared" si="23"/>
        <v>1</v>
      </c>
      <c r="X124" s="34">
        <f t="shared" si="24"/>
        <v>2</v>
      </c>
      <c r="Y124" s="34" t="str">
        <f t="shared" si="25"/>
        <v>Mala</v>
      </c>
      <c r="Z124" s="34">
        <f t="shared" si="26"/>
        <v>1</v>
      </c>
      <c r="AA124" s="36">
        <f t="shared" si="27"/>
        <v>1.5</v>
      </c>
      <c r="AB124" s="36" t="str">
        <f t="shared" si="28"/>
        <v>Mala</v>
      </c>
      <c r="AC124" s="36">
        <f t="shared" si="29"/>
        <v>1</v>
      </c>
      <c r="AD124" s="37">
        <f t="shared" si="30"/>
        <v>1.625</v>
      </c>
      <c r="AE124" s="38" t="str">
        <f t="shared" si="31"/>
        <v>Mala</v>
      </c>
      <c r="AF124" s="38">
        <f t="shared" si="32"/>
        <v>1</v>
      </c>
    </row>
    <row r="125" spans="1:32" x14ac:dyDescent="0.25">
      <c r="A125" t="s">
        <v>139</v>
      </c>
      <c r="B125" s="1">
        <v>3</v>
      </c>
      <c r="C125" s="1">
        <v>2</v>
      </c>
      <c r="D125" s="1">
        <v>3</v>
      </c>
      <c r="E125" s="1">
        <v>4</v>
      </c>
      <c r="F125" s="1">
        <v>4</v>
      </c>
      <c r="G125" s="1">
        <v>4</v>
      </c>
      <c r="H125" s="1">
        <v>4</v>
      </c>
      <c r="I125" s="1">
        <v>4</v>
      </c>
      <c r="J125" s="1">
        <v>2</v>
      </c>
      <c r="K125" s="1">
        <v>4</v>
      </c>
      <c r="L125" s="1">
        <v>3</v>
      </c>
      <c r="M125" s="1">
        <v>3</v>
      </c>
      <c r="N125" s="1">
        <v>3</v>
      </c>
      <c r="O125" s="1">
        <v>4</v>
      </c>
      <c r="P125" s="1">
        <v>2</v>
      </c>
      <c r="Q125" s="1">
        <v>4</v>
      </c>
      <c r="R125" s="27">
        <f t="shared" si="18"/>
        <v>3</v>
      </c>
      <c r="S125" s="28" t="str">
        <f t="shared" si="19"/>
        <v>Regular</v>
      </c>
      <c r="T125" s="28">
        <f t="shared" si="20"/>
        <v>2</v>
      </c>
      <c r="U125" s="32">
        <f t="shared" si="21"/>
        <v>4</v>
      </c>
      <c r="V125" s="32" t="str">
        <f t="shared" si="22"/>
        <v>Buena</v>
      </c>
      <c r="W125" s="32">
        <f t="shared" si="23"/>
        <v>3</v>
      </c>
      <c r="X125" s="34">
        <f t="shared" si="24"/>
        <v>3</v>
      </c>
      <c r="Y125" s="34" t="str">
        <f t="shared" si="25"/>
        <v>Regular</v>
      </c>
      <c r="Z125" s="34">
        <f t="shared" si="26"/>
        <v>2</v>
      </c>
      <c r="AA125" s="36">
        <f t="shared" si="27"/>
        <v>3.25</v>
      </c>
      <c r="AB125" s="36" t="str">
        <f t="shared" si="28"/>
        <v>Regular</v>
      </c>
      <c r="AC125" s="36">
        <f t="shared" si="29"/>
        <v>2</v>
      </c>
      <c r="AD125" s="37">
        <f t="shared" si="30"/>
        <v>3.3125</v>
      </c>
      <c r="AE125" s="38" t="str">
        <f t="shared" si="31"/>
        <v>Regular</v>
      </c>
      <c r="AF125" s="38">
        <f t="shared" si="32"/>
        <v>2</v>
      </c>
    </row>
    <row r="126" spans="1:32" x14ac:dyDescent="0.25">
      <c r="A126" t="s">
        <v>140</v>
      </c>
      <c r="B126" s="1">
        <v>2</v>
      </c>
      <c r="C126" s="1">
        <v>2</v>
      </c>
      <c r="D126" s="1">
        <v>3</v>
      </c>
      <c r="E126" s="1">
        <v>2</v>
      </c>
      <c r="F126" s="1">
        <v>3</v>
      </c>
      <c r="G126" s="1">
        <v>2</v>
      </c>
      <c r="H126" s="1">
        <v>2</v>
      </c>
      <c r="I126" s="1">
        <v>2</v>
      </c>
      <c r="J126" s="1">
        <v>2</v>
      </c>
      <c r="K126" s="1">
        <v>3</v>
      </c>
      <c r="L126" s="1">
        <v>3</v>
      </c>
      <c r="M126" s="1">
        <v>2</v>
      </c>
      <c r="N126" s="1">
        <v>3</v>
      </c>
      <c r="O126" s="1">
        <v>2</v>
      </c>
      <c r="P126" s="1">
        <v>3</v>
      </c>
      <c r="Q126" s="1">
        <v>2</v>
      </c>
      <c r="R126" s="27">
        <f t="shared" si="18"/>
        <v>2.25</v>
      </c>
      <c r="S126" s="28" t="str">
        <f t="shared" si="19"/>
        <v>Mala</v>
      </c>
      <c r="T126" s="28">
        <f t="shared" si="20"/>
        <v>1</v>
      </c>
      <c r="U126" s="32">
        <f t="shared" si="21"/>
        <v>2.25</v>
      </c>
      <c r="V126" s="32" t="str">
        <f t="shared" si="22"/>
        <v>Mala</v>
      </c>
      <c r="W126" s="32">
        <f t="shared" si="23"/>
        <v>1</v>
      </c>
      <c r="X126" s="34">
        <f t="shared" si="24"/>
        <v>2.5</v>
      </c>
      <c r="Y126" s="34" t="str">
        <f t="shared" si="25"/>
        <v>Regular</v>
      </c>
      <c r="Z126" s="34">
        <f t="shared" si="26"/>
        <v>2</v>
      </c>
      <c r="AA126" s="36">
        <f t="shared" si="27"/>
        <v>2.5</v>
      </c>
      <c r="AB126" s="36" t="str">
        <f t="shared" si="28"/>
        <v>Regular</v>
      </c>
      <c r="AC126" s="36">
        <f t="shared" si="29"/>
        <v>2</v>
      </c>
      <c r="AD126" s="37">
        <f t="shared" si="30"/>
        <v>2.375</v>
      </c>
      <c r="AE126" s="38" t="str">
        <f t="shared" si="31"/>
        <v>Regular</v>
      </c>
      <c r="AF126" s="38">
        <f t="shared" si="32"/>
        <v>2</v>
      </c>
    </row>
    <row r="127" spans="1:32" x14ac:dyDescent="0.25">
      <c r="A127" t="s">
        <v>141</v>
      </c>
      <c r="B127" s="1">
        <v>4</v>
      </c>
      <c r="C127" s="1">
        <v>3</v>
      </c>
      <c r="D127" s="1">
        <v>4</v>
      </c>
      <c r="E127" s="1">
        <v>3</v>
      </c>
      <c r="F127" s="1">
        <v>4</v>
      </c>
      <c r="G127" s="1">
        <v>3</v>
      </c>
      <c r="H127" s="1">
        <v>3</v>
      </c>
      <c r="I127" s="1">
        <v>3</v>
      </c>
      <c r="J127" s="1">
        <v>3</v>
      </c>
      <c r="K127" s="1">
        <v>3</v>
      </c>
      <c r="L127" s="1">
        <v>4</v>
      </c>
      <c r="M127" s="1">
        <v>3</v>
      </c>
      <c r="N127" s="1">
        <v>4</v>
      </c>
      <c r="O127" s="1">
        <v>4</v>
      </c>
      <c r="P127" s="1">
        <v>4</v>
      </c>
      <c r="Q127" s="1">
        <v>4</v>
      </c>
      <c r="R127" s="27">
        <f t="shared" si="18"/>
        <v>3.5</v>
      </c>
      <c r="S127" s="28" t="str">
        <f t="shared" si="19"/>
        <v>Regular</v>
      </c>
      <c r="T127" s="28">
        <f t="shared" si="20"/>
        <v>2</v>
      </c>
      <c r="U127" s="32">
        <f t="shared" si="21"/>
        <v>3.25</v>
      </c>
      <c r="V127" s="32" t="str">
        <f t="shared" si="22"/>
        <v>Regular</v>
      </c>
      <c r="W127" s="32">
        <f t="shared" si="23"/>
        <v>2</v>
      </c>
      <c r="X127" s="34">
        <f t="shared" si="24"/>
        <v>3.25</v>
      </c>
      <c r="Y127" s="34" t="str">
        <f t="shared" si="25"/>
        <v>Regular</v>
      </c>
      <c r="Z127" s="34">
        <f t="shared" si="26"/>
        <v>2</v>
      </c>
      <c r="AA127" s="36">
        <f t="shared" si="27"/>
        <v>4</v>
      </c>
      <c r="AB127" s="36" t="str">
        <f t="shared" si="28"/>
        <v>Buena</v>
      </c>
      <c r="AC127" s="36">
        <f t="shared" si="29"/>
        <v>3</v>
      </c>
      <c r="AD127" s="37">
        <f t="shared" si="30"/>
        <v>3.5</v>
      </c>
      <c r="AE127" s="38" t="str">
        <f t="shared" si="31"/>
        <v>Regular</v>
      </c>
      <c r="AF127" s="38">
        <f t="shared" si="32"/>
        <v>2</v>
      </c>
    </row>
    <row r="128" spans="1:32" x14ac:dyDescent="0.25">
      <c r="A128" t="s">
        <v>142</v>
      </c>
      <c r="B128" s="1">
        <v>5</v>
      </c>
      <c r="C128" s="1">
        <v>5</v>
      </c>
      <c r="D128" s="1">
        <v>3</v>
      </c>
      <c r="E128" s="1">
        <v>5</v>
      </c>
      <c r="F128" s="1">
        <v>5</v>
      </c>
      <c r="G128" s="1">
        <v>5</v>
      </c>
      <c r="H128" s="1">
        <v>5</v>
      </c>
      <c r="I128" s="1">
        <v>5</v>
      </c>
      <c r="J128" s="1">
        <v>4</v>
      </c>
      <c r="K128" s="1">
        <v>5</v>
      </c>
      <c r="L128" s="1">
        <v>5</v>
      </c>
      <c r="M128" s="1">
        <v>5</v>
      </c>
      <c r="N128" s="1">
        <v>4</v>
      </c>
      <c r="O128" s="1">
        <v>4</v>
      </c>
      <c r="P128" s="1">
        <v>4</v>
      </c>
      <c r="Q128" s="1">
        <v>4</v>
      </c>
      <c r="R128" s="27">
        <f t="shared" si="18"/>
        <v>4.5</v>
      </c>
      <c r="S128" s="28" t="str">
        <f t="shared" si="19"/>
        <v>Buena</v>
      </c>
      <c r="T128" s="28">
        <f t="shared" si="20"/>
        <v>3</v>
      </c>
      <c r="U128" s="32">
        <f t="shared" si="21"/>
        <v>5</v>
      </c>
      <c r="V128" s="32" t="str">
        <f t="shared" si="22"/>
        <v>Buena</v>
      </c>
      <c r="W128" s="32">
        <f t="shared" si="23"/>
        <v>3</v>
      </c>
      <c r="X128" s="34">
        <f t="shared" si="24"/>
        <v>4.75</v>
      </c>
      <c r="Y128" s="34" t="str">
        <f t="shared" si="25"/>
        <v>Buena</v>
      </c>
      <c r="Z128" s="34">
        <f t="shared" si="26"/>
        <v>3</v>
      </c>
      <c r="AA128" s="36">
        <f t="shared" si="27"/>
        <v>4</v>
      </c>
      <c r="AB128" s="36" t="str">
        <f t="shared" si="28"/>
        <v>Buena</v>
      </c>
      <c r="AC128" s="36">
        <f t="shared" si="29"/>
        <v>3</v>
      </c>
      <c r="AD128" s="37">
        <f t="shared" si="30"/>
        <v>4.5625</v>
      </c>
      <c r="AE128" s="38" t="str">
        <f t="shared" si="31"/>
        <v>Buena</v>
      </c>
      <c r="AF128" s="38">
        <f t="shared" si="32"/>
        <v>3</v>
      </c>
    </row>
    <row r="129" spans="1:32" x14ac:dyDescent="0.25">
      <c r="A129" t="s">
        <v>143</v>
      </c>
      <c r="B129" s="1">
        <v>3</v>
      </c>
      <c r="C129" s="1">
        <v>4</v>
      </c>
      <c r="D129" s="1">
        <v>3</v>
      </c>
      <c r="E129" s="1">
        <v>3</v>
      </c>
      <c r="F129" s="1">
        <v>2</v>
      </c>
      <c r="G129" s="1">
        <v>3</v>
      </c>
      <c r="H129" s="1">
        <v>2</v>
      </c>
      <c r="I129" s="1">
        <v>3</v>
      </c>
      <c r="J129" s="1">
        <v>3</v>
      </c>
      <c r="K129" s="1">
        <v>4</v>
      </c>
      <c r="L129" s="1">
        <v>4</v>
      </c>
      <c r="M129" s="1">
        <v>3</v>
      </c>
      <c r="N129" s="1">
        <v>3</v>
      </c>
      <c r="O129" s="1">
        <v>3</v>
      </c>
      <c r="P129" s="1">
        <v>2</v>
      </c>
      <c r="Q129" s="1">
        <v>2</v>
      </c>
      <c r="R129" s="27">
        <f t="shared" si="18"/>
        <v>3.25</v>
      </c>
      <c r="S129" s="28" t="str">
        <f t="shared" si="19"/>
        <v>Regular</v>
      </c>
      <c r="T129" s="28">
        <f t="shared" si="20"/>
        <v>2</v>
      </c>
      <c r="U129" s="32">
        <f t="shared" si="21"/>
        <v>2.5</v>
      </c>
      <c r="V129" s="32" t="str">
        <f t="shared" si="22"/>
        <v>Regular</v>
      </c>
      <c r="W129" s="32">
        <f t="shared" si="23"/>
        <v>2</v>
      </c>
      <c r="X129" s="34">
        <f t="shared" si="24"/>
        <v>3.5</v>
      </c>
      <c r="Y129" s="34" t="str">
        <f t="shared" si="25"/>
        <v>Regular</v>
      </c>
      <c r="Z129" s="34">
        <f t="shared" si="26"/>
        <v>2</v>
      </c>
      <c r="AA129" s="36">
        <f t="shared" si="27"/>
        <v>2.5</v>
      </c>
      <c r="AB129" s="36" t="str">
        <f t="shared" si="28"/>
        <v>Regular</v>
      </c>
      <c r="AC129" s="36">
        <f t="shared" si="29"/>
        <v>2</v>
      </c>
      <c r="AD129" s="37">
        <f t="shared" si="30"/>
        <v>2.9375</v>
      </c>
      <c r="AE129" s="38" t="str">
        <f t="shared" si="31"/>
        <v>Regular</v>
      </c>
      <c r="AF129" s="38">
        <f t="shared" si="32"/>
        <v>2</v>
      </c>
    </row>
    <row r="130" spans="1:32" x14ac:dyDescent="0.25">
      <c r="A130" t="s">
        <v>144</v>
      </c>
      <c r="B130" s="1">
        <v>3</v>
      </c>
      <c r="C130" s="1">
        <v>2</v>
      </c>
      <c r="D130" s="1">
        <v>2</v>
      </c>
      <c r="E130" s="1">
        <v>3</v>
      </c>
      <c r="F130" s="1">
        <v>4</v>
      </c>
      <c r="G130" s="1">
        <v>2</v>
      </c>
      <c r="H130" s="1">
        <v>3</v>
      </c>
      <c r="I130" s="1">
        <v>4</v>
      </c>
      <c r="J130" s="1">
        <v>2</v>
      </c>
      <c r="K130" s="1">
        <v>2</v>
      </c>
      <c r="L130" s="1">
        <v>3</v>
      </c>
      <c r="M130" s="1">
        <v>3</v>
      </c>
      <c r="N130" s="1">
        <v>2</v>
      </c>
      <c r="O130" s="1">
        <v>3</v>
      </c>
      <c r="P130" s="1">
        <v>2</v>
      </c>
      <c r="Q130" s="1">
        <v>4</v>
      </c>
      <c r="R130" s="27">
        <f t="shared" si="18"/>
        <v>2.5</v>
      </c>
      <c r="S130" s="28" t="str">
        <f t="shared" si="19"/>
        <v>Regular</v>
      </c>
      <c r="T130" s="28">
        <f t="shared" si="20"/>
        <v>2</v>
      </c>
      <c r="U130" s="32">
        <f t="shared" si="21"/>
        <v>3.25</v>
      </c>
      <c r="V130" s="32" t="str">
        <f t="shared" si="22"/>
        <v>Regular</v>
      </c>
      <c r="W130" s="32">
        <f t="shared" si="23"/>
        <v>2</v>
      </c>
      <c r="X130" s="34">
        <f t="shared" si="24"/>
        <v>2.5</v>
      </c>
      <c r="Y130" s="34" t="str">
        <f t="shared" si="25"/>
        <v>Regular</v>
      </c>
      <c r="Z130" s="34">
        <f t="shared" si="26"/>
        <v>2</v>
      </c>
      <c r="AA130" s="36">
        <f t="shared" si="27"/>
        <v>2.75</v>
      </c>
      <c r="AB130" s="36" t="str">
        <f t="shared" si="28"/>
        <v>Regular</v>
      </c>
      <c r="AC130" s="36">
        <f t="shared" si="29"/>
        <v>2</v>
      </c>
      <c r="AD130" s="37">
        <f t="shared" si="30"/>
        <v>2.75</v>
      </c>
      <c r="AE130" s="38" t="str">
        <f t="shared" si="31"/>
        <v>Regular</v>
      </c>
      <c r="AF130" s="38">
        <f t="shared" si="32"/>
        <v>2</v>
      </c>
    </row>
    <row r="131" spans="1:32" x14ac:dyDescent="0.25">
      <c r="A131" t="s">
        <v>145</v>
      </c>
      <c r="B131" s="1">
        <v>3</v>
      </c>
      <c r="C131" s="1">
        <v>2</v>
      </c>
      <c r="D131" s="1">
        <v>2</v>
      </c>
      <c r="E131" s="1">
        <v>3</v>
      </c>
      <c r="F131" s="1">
        <v>2</v>
      </c>
      <c r="G131" s="1">
        <v>3</v>
      </c>
      <c r="H131" s="1">
        <v>2</v>
      </c>
      <c r="I131" s="1">
        <v>3</v>
      </c>
      <c r="J131" s="1">
        <v>3</v>
      </c>
      <c r="K131" s="1">
        <v>3</v>
      </c>
      <c r="L131" s="1">
        <v>2</v>
      </c>
      <c r="M131" s="1">
        <v>2</v>
      </c>
      <c r="N131" s="1">
        <v>2</v>
      </c>
      <c r="O131" s="1">
        <v>3</v>
      </c>
      <c r="P131" s="1">
        <v>3</v>
      </c>
      <c r="Q131" s="1">
        <v>3</v>
      </c>
      <c r="R131" s="27">
        <f t="shared" ref="R131:R184" si="33">AVERAGE(B131:E131)</f>
        <v>2.5</v>
      </c>
      <c r="S131" s="28" t="str">
        <f t="shared" ref="S131:S162" si="34">IF(R131&lt;=$AR$11,$AP$11,IF(R131&lt;=$AR$12,$AP$12,IF(R131&lt;=$AR$13,$AP$13,0)))</f>
        <v>Regular</v>
      </c>
      <c r="T131" s="28">
        <f t="shared" ref="T131:T162" si="35">IF(S131=$AP$11,$AO$11,IF(S131=$AP$12,$AO$12,IF(S131=$AP$13,$AO$13,0)))</f>
        <v>2</v>
      </c>
      <c r="U131" s="32">
        <f t="shared" ref="U131:U184" si="36">AVERAGE(F131:I131)</f>
        <v>2.5</v>
      </c>
      <c r="V131" s="32" t="str">
        <f t="shared" ref="V131:V162" si="37">IF(U131&lt;=$AR$11,$AP$11,IF(U131&lt;=$AR$12,$AP$12,IF(U131&lt;=$AR$13,$AP$13,0)))</f>
        <v>Regular</v>
      </c>
      <c r="W131" s="32">
        <f t="shared" ref="W131:W162" si="38">IF(V131=$AP$11,$AO$11,IF(V131=$AP$12,$AO$12,IF(V131=$AP$13,$AO$13,0)))</f>
        <v>2</v>
      </c>
      <c r="X131" s="34">
        <f t="shared" ref="X131:X184" si="39">AVERAGE(J131:M131)</f>
        <v>2.5</v>
      </c>
      <c r="Y131" s="34" t="str">
        <f t="shared" ref="Y131:Y162" si="40">IF(X131&lt;=$AR$11,$AP$11,IF(X131&lt;=$AR$12,$AP$12,IF(X131&lt;=$AR$13,$AP$13,0)))</f>
        <v>Regular</v>
      </c>
      <c r="Z131" s="34">
        <f t="shared" ref="Z131:Z162" si="41">IF(Y131=$AP$11,$AO$11,IF(Y131=$AP$12,$AO$12,IF(Y131=$AP$13,$AO$13,0)))</f>
        <v>2</v>
      </c>
      <c r="AA131" s="36">
        <f t="shared" ref="AA131:AA184" si="42">AVERAGE(N131:Q131)</f>
        <v>2.75</v>
      </c>
      <c r="AB131" s="36" t="str">
        <f t="shared" ref="AB131:AB184" si="43">IF(AA131&lt;=$AR$11,$AP$11,IF(AA131&lt;=$AR$12,$AP$12,IF(AA131&lt;=$AR$13,$AP$13,0)))</f>
        <v>Regular</v>
      </c>
      <c r="AC131" s="36">
        <f t="shared" ref="AC131:AC184" si="44">IF(AB131=$AP$11,$AO$11,IF(AB131=$AP$12,$AO$12,IF(AB131=$AP$13,$AO$13,0)))</f>
        <v>2</v>
      </c>
      <c r="AD131" s="37">
        <f t="shared" ref="AD131:AD184" si="45">AVERAGE(B131:Q131)</f>
        <v>2.5625</v>
      </c>
      <c r="AE131" s="38" t="str">
        <f t="shared" ref="AE131:AE184" si="46">IF(AD131&lt;=$AR$11,$AP$11,IF(AD131&lt;=$AR$12,$AP$12,IF(AD131&lt;=$AR$13,$AP$13,0)))</f>
        <v>Regular</v>
      </c>
      <c r="AF131" s="38">
        <f t="shared" ref="AF131:AF184" si="47">IF(AE131=$AP$11,$AO$11,IF(AE131=$AP$12,$AO$12,IF(AE131=$AP$13,$AO$13,0)))</f>
        <v>2</v>
      </c>
    </row>
    <row r="132" spans="1:32" x14ac:dyDescent="0.25">
      <c r="A132" t="s">
        <v>146</v>
      </c>
      <c r="B132" s="1">
        <v>4</v>
      </c>
      <c r="C132" s="1">
        <v>5</v>
      </c>
      <c r="D132" s="1">
        <v>4</v>
      </c>
      <c r="E132" s="1">
        <v>5</v>
      </c>
      <c r="F132" s="1">
        <v>4</v>
      </c>
      <c r="G132" s="1">
        <v>4</v>
      </c>
      <c r="H132" s="1">
        <v>4</v>
      </c>
      <c r="I132" s="1">
        <v>5</v>
      </c>
      <c r="J132" s="1">
        <v>4</v>
      </c>
      <c r="K132" s="1">
        <v>4</v>
      </c>
      <c r="L132" s="1">
        <v>5</v>
      </c>
      <c r="M132" s="1">
        <v>5</v>
      </c>
      <c r="N132" s="1">
        <v>4</v>
      </c>
      <c r="O132" s="1">
        <v>5</v>
      </c>
      <c r="P132" s="1">
        <v>4</v>
      </c>
      <c r="Q132" s="1">
        <v>5</v>
      </c>
      <c r="R132" s="27">
        <f t="shared" si="33"/>
        <v>4.5</v>
      </c>
      <c r="S132" s="28" t="str">
        <f t="shared" si="34"/>
        <v>Buena</v>
      </c>
      <c r="T132" s="28">
        <f t="shared" si="35"/>
        <v>3</v>
      </c>
      <c r="U132" s="32">
        <f t="shared" si="36"/>
        <v>4.25</v>
      </c>
      <c r="V132" s="32" t="str">
        <f t="shared" si="37"/>
        <v>Buena</v>
      </c>
      <c r="W132" s="32">
        <f t="shared" si="38"/>
        <v>3</v>
      </c>
      <c r="X132" s="34">
        <f t="shared" si="39"/>
        <v>4.5</v>
      </c>
      <c r="Y132" s="34" t="str">
        <f t="shared" si="40"/>
        <v>Buena</v>
      </c>
      <c r="Z132" s="34">
        <f t="shared" si="41"/>
        <v>3</v>
      </c>
      <c r="AA132" s="36">
        <f t="shared" si="42"/>
        <v>4.5</v>
      </c>
      <c r="AB132" s="36" t="str">
        <f t="shared" si="43"/>
        <v>Buena</v>
      </c>
      <c r="AC132" s="36">
        <f t="shared" si="44"/>
        <v>3</v>
      </c>
      <c r="AD132" s="37">
        <f t="shared" si="45"/>
        <v>4.4375</v>
      </c>
      <c r="AE132" s="38" t="str">
        <f t="shared" si="46"/>
        <v>Buena</v>
      </c>
      <c r="AF132" s="38">
        <f t="shared" si="47"/>
        <v>3</v>
      </c>
    </row>
    <row r="133" spans="1:32" x14ac:dyDescent="0.25">
      <c r="A133" t="s">
        <v>147</v>
      </c>
      <c r="B133" s="1">
        <v>3</v>
      </c>
      <c r="C133" s="1">
        <v>3</v>
      </c>
      <c r="D133" s="1">
        <v>3</v>
      </c>
      <c r="E133" s="1">
        <v>2</v>
      </c>
      <c r="F133" s="1">
        <v>3</v>
      </c>
      <c r="G133" s="1">
        <v>3</v>
      </c>
      <c r="H133" s="1">
        <v>2</v>
      </c>
      <c r="I133" s="1">
        <v>3</v>
      </c>
      <c r="J133" s="1">
        <v>2</v>
      </c>
      <c r="K133" s="1">
        <v>3</v>
      </c>
      <c r="L133" s="1">
        <v>2</v>
      </c>
      <c r="M133" s="1">
        <v>2</v>
      </c>
      <c r="N133" s="1">
        <v>3</v>
      </c>
      <c r="O133" s="1">
        <v>3</v>
      </c>
      <c r="P133" s="1">
        <v>3</v>
      </c>
      <c r="Q133" s="1">
        <v>2</v>
      </c>
      <c r="R133" s="27">
        <f t="shared" si="33"/>
        <v>2.75</v>
      </c>
      <c r="S133" s="28" t="str">
        <f t="shared" si="34"/>
        <v>Regular</v>
      </c>
      <c r="T133" s="28">
        <f t="shared" si="35"/>
        <v>2</v>
      </c>
      <c r="U133" s="32">
        <f t="shared" si="36"/>
        <v>2.75</v>
      </c>
      <c r="V133" s="32" t="str">
        <f t="shared" si="37"/>
        <v>Regular</v>
      </c>
      <c r="W133" s="32">
        <f t="shared" si="38"/>
        <v>2</v>
      </c>
      <c r="X133" s="34">
        <f t="shared" si="39"/>
        <v>2.25</v>
      </c>
      <c r="Y133" s="34" t="str">
        <f t="shared" si="40"/>
        <v>Mala</v>
      </c>
      <c r="Z133" s="34">
        <f t="shared" si="41"/>
        <v>1</v>
      </c>
      <c r="AA133" s="36">
        <f t="shared" si="42"/>
        <v>2.75</v>
      </c>
      <c r="AB133" s="36" t="str">
        <f t="shared" si="43"/>
        <v>Regular</v>
      </c>
      <c r="AC133" s="36">
        <f t="shared" si="44"/>
        <v>2</v>
      </c>
      <c r="AD133" s="37">
        <f t="shared" si="45"/>
        <v>2.625</v>
      </c>
      <c r="AE133" s="38" t="str">
        <f t="shared" si="46"/>
        <v>Regular</v>
      </c>
      <c r="AF133" s="38">
        <f t="shared" si="47"/>
        <v>2</v>
      </c>
    </row>
    <row r="134" spans="1:32" x14ac:dyDescent="0.25">
      <c r="A134" t="s">
        <v>148</v>
      </c>
      <c r="B134" s="1">
        <v>1</v>
      </c>
      <c r="C134" s="1">
        <v>1</v>
      </c>
      <c r="D134" s="1">
        <v>2</v>
      </c>
      <c r="E134" s="1">
        <v>1</v>
      </c>
      <c r="F134" s="1">
        <v>1</v>
      </c>
      <c r="G134" s="1">
        <v>2</v>
      </c>
      <c r="H134" s="1">
        <v>2</v>
      </c>
      <c r="I134" s="1">
        <v>2</v>
      </c>
      <c r="J134" s="1">
        <v>2</v>
      </c>
      <c r="K134" s="1">
        <v>1</v>
      </c>
      <c r="L134" s="1">
        <v>2</v>
      </c>
      <c r="M134" s="1">
        <v>2</v>
      </c>
      <c r="N134" s="1">
        <v>2</v>
      </c>
      <c r="O134" s="1">
        <v>2</v>
      </c>
      <c r="P134" s="1">
        <v>1</v>
      </c>
      <c r="Q134" s="1">
        <v>2</v>
      </c>
      <c r="R134" s="27">
        <f t="shared" si="33"/>
        <v>1.25</v>
      </c>
      <c r="S134" s="28" t="str">
        <f t="shared" si="34"/>
        <v>Mala</v>
      </c>
      <c r="T134" s="28">
        <f t="shared" si="35"/>
        <v>1</v>
      </c>
      <c r="U134" s="32">
        <f t="shared" si="36"/>
        <v>1.75</v>
      </c>
      <c r="V134" s="32" t="str">
        <f t="shared" si="37"/>
        <v>Mala</v>
      </c>
      <c r="W134" s="32">
        <f t="shared" si="38"/>
        <v>1</v>
      </c>
      <c r="X134" s="34">
        <f t="shared" si="39"/>
        <v>1.75</v>
      </c>
      <c r="Y134" s="34" t="str">
        <f t="shared" si="40"/>
        <v>Mala</v>
      </c>
      <c r="Z134" s="34">
        <f t="shared" si="41"/>
        <v>1</v>
      </c>
      <c r="AA134" s="36">
        <f t="shared" si="42"/>
        <v>1.75</v>
      </c>
      <c r="AB134" s="36" t="str">
        <f t="shared" si="43"/>
        <v>Mala</v>
      </c>
      <c r="AC134" s="36">
        <f t="shared" si="44"/>
        <v>1</v>
      </c>
      <c r="AD134" s="37">
        <f t="shared" si="45"/>
        <v>1.625</v>
      </c>
      <c r="AE134" s="38" t="str">
        <f t="shared" si="46"/>
        <v>Mala</v>
      </c>
      <c r="AF134" s="38">
        <f t="shared" si="47"/>
        <v>1</v>
      </c>
    </row>
    <row r="135" spans="1:32" x14ac:dyDescent="0.25">
      <c r="A135" t="s">
        <v>149</v>
      </c>
      <c r="B135" s="1">
        <v>3</v>
      </c>
      <c r="C135" s="1">
        <v>3</v>
      </c>
      <c r="D135" s="1">
        <v>3</v>
      </c>
      <c r="E135" s="1">
        <v>4</v>
      </c>
      <c r="F135" s="1">
        <v>4</v>
      </c>
      <c r="G135" s="1">
        <v>3</v>
      </c>
      <c r="H135" s="1">
        <v>3</v>
      </c>
      <c r="I135" s="1">
        <v>3</v>
      </c>
      <c r="J135" s="1">
        <v>3</v>
      </c>
      <c r="K135" s="1">
        <v>4</v>
      </c>
      <c r="L135" s="1">
        <v>2</v>
      </c>
      <c r="M135" s="1">
        <v>3</v>
      </c>
      <c r="N135" s="1">
        <v>2</v>
      </c>
      <c r="O135" s="1">
        <v>2</v>
      </c>
      <c r="P135" s="1">
        <v>3</v>
      </c>
      <c r="Q135" s="1">
        <v>2</v>
      </c>
      <c r="R135" s="27">
        <f t="shared" si="33"/>
        <v>3.25</v>
      </c>
      <c r="S135" s="28" t="str">
        <f t="shared" si="34"/>
        <v>Regular</v>
      </c>
      <c r="T135" s="28">
        <f t="shared" si="35"/>
        <v>2</v>
      </c>
      <c r="U135" s="32">
        <f t="shared" si="36"/>
        <v>3.25</v>
      </c>
      <c r="V135" s="32" t="str">
        <f t="shared" si="37"/>
        <v>Regular</v>
      </c>
      <c r="W135" s="32">
        <f t="shared" si="38"/>
        <v>2</v>
      </c>
      <c r="X135" s="34">
        <f t="shared" si="39"/>
        <v>3</v>
      </c>
      <c r="Y135" s="34" t="str">
        <f t="shared" si="40"/>
        <v>Regular</v>
      </c>
      <c r="Z135" s="34">
        <f t="shared" si="41"/>
        <v>2</v>
      </c>
      <c r="AA135" s="36">
        <f t="shared" si="42"/>
        <v>2.25</v>
      </c>
      <c r="AB135" s="36" t="str">
        <f t="shared" si="43"/>
        <v>Mala</v>
      </c>
      <c r="AC135" s="36">
        <f t="shared" si="44"/>
        <v>1</v>
      </c>
      <c r="AD135" s="37">
        <f t="shared" si="45"/>
        <v>2.9375</v>
      </c>
      <c r="AE135" s="38" t="str">
        <f t="shared" si="46"/>
        <v>Regular</v>
      </c>
      <c r="AF135" s="38">
        <f t="shared" si="47"/>
        <v>2</v>
      </c>
    </row>
    <row r="136" spans="1:32" x14ac:dyDescent="0.25">
      <c r="A136" t="s">
        <v>150</v>
      </c>
      <c r="B136" s="1">
        <v>4</v>
      </c>
      <c r="C136" s="1">
        <v>3</v>
      </c>
      <c r="D136" s="1">
        <v>3</v>
      </c>
      <c r="E136" s="1">
        <v>3</v>
      </c>
      <c r="F136" s="1">
        <v>3</v>
      </c>
      <c r="G136" s="1">
        <v>4</v>
      </c>
      <c r="H136" s="1">
        <v>4</v>
      </c>
      <c r="I136" s="1">
        <v>3</v>
      </c>
      <c r="J136" s="1">
        <v>3</v>
      </c>
      <c r="K136" s="1">
        <v>2</v>
      </c>
      <c r="L136" s="1">
        <v>4</v>
      </c>
      <c r="M136" s="1">
        <v>4</v>
      </c>
      <c r="N136" s="1">
        <v>3</v>
      </c>
      <c r="O136" s="1">
        <v>2</v>
      </c>
      <c r="P136" s="1">
        <v>4</v>
      </c>
      <c r="Q136" s="1">
        <v>3</v>
      </c>
      <c r="R136" s="27">
        <f t="shared" si="33"/>
        <v>3.25</v>
      </c>
      <c r="S136" s="28" t="str">
        <f t="shared" si="34"/>
        <v>Regular</v>
      </c>
      <c r="T136" s="28">
        <f t="shared" si="35"/>
        <v>2</v>
      </c>
      <c r="U136" s="32">
        <f t="shared" si="36"/>
        <v>3.5</v>
      </c>
      <c r="V136" s="32" t="str">
        <f t="shared" si="37"/>
        <v>Regular</v>
      </c>
      <c r="W136" s="32">
        <f t="shared" si="38"/>
        <v>2</v>
      </c>
      <c r="X136" s="34">
        <f t="shared" si="39"/>
        <v>3.25</v>
      </c>
      <c r="Y136" s="34" t="str">
        <f t="shared" si="40"/>
        <v>Regular</v>
      </c>
      <c r="Z136" s="34">
        <f t="shared" si="41"/>
        <v>2</v>
      </c>
      <c r="AA136" s="36">
        <f t="shared" si="42"/>
        <v>3</v>
      </c>
      <c r="AB136" s="36" t="str">
        <f t="shared" si="43"/>
        <v>Regular</v>
      </c>
      <c r="AC136" s="36">
        <f t="shared" si="44"/>
        <v>2</v>
      </c>
      <c r="AD136" s="37">
        <f t="shared" si="45"/>
        <v>3.25</v>
      </c>
      <c r="AE136" s="38" t="str">
        <f t="shared" si="46"/>
        <v>Regular</v>
      </c>
      <c r="AF136" s="38">
        <f t="shared" si="47"/>
        <v>2</v>
      </c>
    </row>
    <row r="137" spans="1:32" x14ac:dyDescent="0.25">
      <c r="A137" t="s">
        <v>151</v>
      </c>
      <c r="B137" s="1">
        <v>2</v>
      </c>
      <c r="C137" s="1">
        <v>4</v>
      </c>
      <c r="D137" s="1">
        <v>4</v>
      </c>
      <c r="E137" s="1">
        <v>3</v>
      </c>
      <c r="F137" s="1">
        <v>2</v>
      </c>
      <c r="G137" s="1">
        <v>2</v>
      </c>
      <c r="H137" s="1">
        <v>2</v>
      </c>
      <c r="I137" s="1">
        <v>3</v>
      </c>
      <c r="J137" s="1">
        <v>4</v>
      </c>
      <c r="K137" s="1">
        <v>3</v>
      </c>
      <c r="L137" s="1">
        <v>3</v>
      </c>
      <c r="M137" s="1">
        <v>4</v>
      </c>
      <c r="N137" s="1">
        <v>2</v>
      </c>
      <c r="O137" s="1">
        <v>3</v>
      </c>
      <c r="P137" s="1">
        <v>2</v>
      </c>
      <c r="Q137" s="1">
        <v>2</v>
      </c>
      <c r="R137" s="27">
        <f t="shared" si="33"/>
        <v>3.25</v>
      </c>
      <c r="S137" s="28" t="str">
        <f t="shared" si="34"/>
        <v>Regular</v>
      </c>
      <c r="T137" s="28">
        <f t="shared" si="35"/>
        <v>2</v>
      </c>
      <c r="U137" s="32">
        <f t="shared" si="36"/>
        <v>2.25</v>
      </c>
      <c r="V137" s="32" t="str">
        <f t="shared" si="37"/>
        <v>Mala</v>
      </c>
      <c r="W137" s="32">
        <f t="shared" si="38"/>
        <v>1</v>
      </c>
      <c r="X137" s="34">
        <f t="shared" si="39"/>
        <v>3.5</v>
      </c>
      <c r="Y137" s="34" t="str">
        <f t="shared" si="40"/>
        <v>Regular</v>
      </c>
      <c r="Z137" s="34">
        <f t="shared" si="41"/>
        <v>2</v>
      </c>
      <c r="AA137" s="36">
        <f t="shared" si="42"/>
        <v>2.25</v>
      </c>
      <c r="AB137" s="36" t="str">
        <f t="shared" si="43"/>
        <v>Mala</v>
      </c>
      <c r="AC137" s="36">
        <f t="shared" si="44"/>
        <v>1</v>
      </c>
      <c r="AD137" s="37">
        <f t="shared" si="45"/>
        <v>2.8125</v>
      </c>
      <c r="AE137" s="38" t="str">
        <f t="shared" si="46"/>
        <v>Regular</v>
      </c>
      <c r="AF137" s="38">
        <f t="shared" si="47"/>
        <v>2</v>
      </c>
    </row>
    <row r="138" spans="1:32" x14ac:dyDescent="0.25">
      <c r="A138" t="s">
        <v>152</v>
      </c>
      <c r="B138" s="1">
        <v>2</v>
      </c>
      <c r="C138" s="1">
        <v>3</v>
      </c>
      <c r="D138" s="1">
        <v>3</v>
      </c>
      <c r="E138" s="1">
        <v>3</v>
      </c>
      <c r="F138" s="1">
        <v>3</v>
      </c>
      <c r="G138" s="1">
        <v>2</v>
      </c>
      <c r="H138" s="1">
        <v>3</v>
      </c>
      <c r="I138" s="1">
        <v>2</v>
      </c>
      <c r="J138" s="1">
        <v>2</v>
      </c>
      <c r="K138" s="1">
        <v>2</v>
      </c>
      <c r="L138" s="1">
        <v>3</v>
      </c>
      <c r="M138" s="1">
        <v>2</v>
      </c>
      <c r="N138" s="1">
        <v>2</v>
      </c>
      <c r="O138" s="1">
        <v>3</v>
      </c>
      <c r="P138" s="1">
        <v>2</v>
      </c>
      <c r="Q138" s="1">
        <v>2</v>
      </c>
      <c r="R138" s="27">
        <f t="shared" si="33"/>
        <v>2.75</v>
      </c>
      <c r="S138" s="28" t="str">
        <f t="shared" si="34"/>
        <v>Regular</v>
      </c>
      <c r="T138" s="28">
        <f t="shared" si="35"/>
        <v>2</v>
      </c>
      <c r="U138" s="32">
        <f t="shared" si="36"/>
        <v>2.5</v>
      </c>
      <c r="V138" s="32" t="str">
        <f t="shared" si="37"/>
        <v>Regular</v>
      </c>
      <c r="W138" s="32">
        <f t="shared" si="38"/>
        <v>2</v>
      </c>
      <c r="X138" s="34">
        <f t="shared" si="39"/>
        <v>2.25</v>
      </c>
      <c r="Y138" s="34" t="str">
        <f t="shared" si="40"/>
        <v>Mala</v>
      </c>
      <c r="Z138" s="34">
        <f t="shared" si="41"/>
        <v>1</v>
      </c>
      <c r="AA138" s="36">
        <f t="shared" si="42"/>
        <v>2.25</v>
      </c>
      <c r="AB138" s="36" t="str">
        <f t="shared" si="43"/>
        <v>Mala</v>
      </c>
      <c r="AC138" s="36">
        <f t="shared" si="44"/>
        <v>1</v>
      </c>
      <c r="AD138" s="37">
        <f t="shared" si="45"/>
        <v>2.4375</v>
      </c>
      <c r="AE138" s="38" t="str">
        <f t="shared" si="46"/>
        <v>Regular</v>
      </c>
      <c r="AF138" s="38">
        <f t="shared" si="47"/>
        <v>2</v>
      </c>
    </row>
    <row r="139" spans="1:32" x14ac:dyDescent="0.25">
      <c r="A139" t="s">
        <v>153</v>
      </c>
      <c r="B139" s="1">
        <v>5</v>
      </c>
      <c r="C139" s="1">
        <v>3</v>
      </c>
      <c r="D139" s="1">
        <v>3</v>
      </c>
      <c r="E139" s="1">
        <v>3</v>
      </c>
      <c r="F139" s="1">
        <v>3</v>
      </c>
      <c r="G139" s="1">
        <v>4</v>
      </c>
      <c r="H139" s="1">
        <v>4</v>
      </c>
      <c r="I139" s="1">
        <v>5</v>
      </c>
      <c r="J139" s="1">
        <v>3</v>
      </c>
      <c r="K139" s="1">
        <v>3</v>
      </c>
      <c r="L139" s="1">
        <v>4</v>
      </c>
      <c r="M139" s="1">
        <v>4</v>
      </c>
      <c r="N139" s="1">
        <v>5</v>
      </c>
      <c r="O139" s="1">
        <v>5</v>
      </c>
      <c r="P139" s="1">
        <v>3</v>
      </c>
      <c r="Q139" s="1">
        <v>4</v>
      </c>
      <c r="R139" s="27">
        <f t="shared" si="33"/>
        <v>3.5</v>
      </c>
      <c r="S139" s="28" t="str">
        <f t="shared" si="34"/>
        <v>Regular</v>
      </c>
      <c r="T139" s="28">
        <f t="shared" si="35"/>
        <v>2</v>
      </c>
      <c r="U139" s="32">
        <f t="shared" si="36"/>
        <v>4</v>
      </c>
      <c r="V139" s="32" t="str">
        <f t="shared" si="37"/>
        <v>Buena</v>
      </c>
      <c r="W139" s="32">
        <f t="shared" si="38"/>
        <v>3</v>
      </c>
      <c r="X139" s="34">
        <f t="shared" si="39"/>
        <v>3.5</v>
      </c>
      <c r="Y139" s="34" t="str">
        <f t="shared" si="40"/>
        <v>Regular</v>
      </c>
      <c r="Z139" s="34">
        <f t="shared" si="41"/>
        <v>2</v>
      </c>
      <c r="AA139" s="36">
        <f t="shared" si="42"/>
        <v>4.25</v>
      </c>
      <c r="AB139" s="36" t="str">
        <f t="shared" si="43"/>
        <v>Buena</v>
      </c>
      <c r="AC139" s="36">
        <f t="shared" si="44"/>
        <v>3</v>
      </c>
      <c r="AD139" s="37">
        <f t="shared" si="45"/>
        <v>3.8125</v>
      </c>
      <c r="AE139" s="38" t="str">
        <f t="shared" si="46"/>
        <v>Buena</v>
      </c>
      <c r="AF139" s="38">
        <f t="shared" si="47"/>
        <v>3</v>
      </c>
    </row>
    <row r="140" spans="1:32" x14ac:dyDescent="0.25">
      <c r="A140" t="s">
        <v>154</v>
      </c>
      <c r="B140" s="1">
        <v>4</v>
      </c>
      <c r="C140" s="1">
        <v>4</v>
      </c>
      <c r="D140" s="1">
        <v>4</v>
      </c>
      <c r="E140" s="1">
        <v>3</v>
      </c>
      <c r="F140" s="1">
        <v>4</v>
      </c>
      <c r="G140" s="1">
        <v>4</v>
      </c>
      <c r="H140" s="1">
        <v>3</v>
      </c>
      <c r="I140" s="1">
        <v>3</v>
      </c>
      <c r="J140" s="1">
        <v>4</v>
      </c>
      <c r="K140" s="1">
        <v>4</v>
      </c>
      <c r="L140" s="1">
        <v>3</v>
      </c>
      <c r="M140" s="1">
        <v>3</v>
      </c>
      <c r="N140" s="1">
        <v>3</v>
      </c>
      <c r="O140" s="1">
        <v>3</v>
      </c>
      <c r="P140" s="1">
        <v>3</v>
      </c>
      <c r="Q140" s="1">
        <v>4</v>
      </c>
      <c r="R140" s="27">
        <f t="shared" si="33"/>
        <v>3.75</v>
      </c>
      <c r="S140" s="28" t="str">
        <f t="shared" si="34"/>
        <v>Buena</v>
      </c>
      <c r="T140" s="28">
        <f t="shared" si="35"/>
        <v>3</v>
      </c>
      <c r="U140" s="32">
        <f t="shared" si="36"/>
        <v>3.5</v>
      </c>
      <c r="V140" s="32" t="str">
        <f t="shared" si="37"/>
        <v>Regular</v>
      </c>
      <c r="W140" s="32">
        <f t="shared" si="38"/>
        <v>2</v>
      </c>
      <c r="X140" s="34">
        <f t="shared" si="39"/>
        <v>3.5</v>
      </c>
      <c r="Y140" s="34" t="str">
        <f t="shared" si="40"/>
        <v>Regular</v>
      </c>
      <c r="Z140" s="34">
        <f t="shared" si="41"/>
        <v>2</v>
      </c>
      <c r="AA140" s="36">
        <f t="shared" si="42"/>
        <v>3.25</v>
      </c>
      <c r="AB140" s="36" t="str">
        <f t="shared" si="43"/>
        <v>Regular</v>
      </c>
      <c r="AC140" s="36">
        <f t="shared" si="44"/>
        <v>2</v>
      </c>
      <c r="AD140" s="37">
        <f t="shared" si="45"/>
        <v>3.5</v>
      </c>
      <c r="AE140" s="38" t="str">
        <f t="shared" si="46"/>
        <v>Regular</v>
      </c>
      <c r="AF140" s="38">
        <f t="shared" si="47"/>
        <v>2</v>
      </c>
    </row>
    <row r="141" spans="1:32" x14ac:dyDescent="0.25">
      <c r="A141" t="s">
        <v>155</v>
      </c>
      <c r="B141" s="1">
        <v>3</v>
      </c>
      <c r="C141" s="1">
        <v>3</v>
      </c>
      <c r="D141" s="1">
        <v>2</v>
      </c>
      <c r="E141" s="1">
        <v>3</v>
      </c>
      <c r="F141" s="1">
        <v>3</v>
      </c>
      <c r="G141" s="1">
        <v>3</v>
      </c>
      <c r="H141" s="1">
        <v>3</v>
      </c>
      <c r="I141" s="1">
        <v>3</v>
      </c>
      <c r="J141" s="1">
        <v>2</v>
      </c>
      <c r="K141" s="1">
        <v>3</v>
      </c>
      <c r="L141" s="1">
        <v>3</v>
      </c>
      <c r="M141" s="1">
        <v>3</v>
      </c>
      <c r="N141" s="1">
        <v>3</v>
      </c>
      <c r="O141" s="1">
        <v>2</v>
      </c>
      <c r="P141" s="1">
        <v>3</v>
      </c>
      <c r="Q141" s="1">
        <v>2</v>
      </c>
      <c r="R141" s="27">
        <f t="shared" si="33"/>
        <v>2.75</v>
      </c>
      <c r="S141" s="28" t="str">
        <f t="shared" si="34"/>
        <v>Regular</v>
      </c>
      <c r="T141" s="28">
        <f t="shared" si="35"/>
        <v>2</v>
      </c>
      <c r="U141" s="32">
        <f t="shared" si="36"/>
        <v>3</v>
      </c>
      <c r="V141" s="32" t="str">
        <f t="shared" si="37"/>
        <v>Regular</v>
      </c>
      <c r="W141" s="32">
        <f t="shared" si="38"/>
        <v>2</v>
      </c>
      <c r="X141" s="34">
        <f t="shared" si="39"/>
        <v>2.75</v>
      </c>
      <c r="Y141" s="34" t="str">
        <f t="shared" si="40"/>
        <v>Regular</v>
      </c>
      <c r="Z141" s="34">
        <f t="shared" si="41"/>
        <v>2</v>
      </c>
      <c r="AA141" s="36">
        <f t="shared" si="42"/>
        <v>2.5</v>
      </c>
      <c r="AB141" s="36" t="str">
        <f t="shared" si="43"/>
        <v>Regular</v>
      </c>
      <c r="AC141" s="36">
        <f t="shared" si="44"/>
        <v>2</v>
      </c>
      <c r="AD141" s="37">
        <f t="shared" si="45"/>
        <v>2.75</v>
      </c>
      <c r="AE141" s="38" t="str">
        <f t="shared" si="46"/>
        <v>Regular</v>
      </c>
      <c r="AF141" s="38">
        <f t="shared" si="47"/>
        <v>2</v>
      </c>
    </row>
    <row r="142" spans="1:32" x14ac:dyDescent="0.25">
      <c r="A142" t="s">
        <v>156</v>
      </c>
      <c r="B142" s="1">
        <v>2</v>
      </c>
      <c r="C142" s="1">
        <v>2</v>
      </c>
      <c r="D142" s="1">
        <v>3</v>
      </c>
      <c r="E142" s="1">
        <v>3</v>
      </c>
      <c r="F142" s="1">
        <v>3</v>
      </c>
      <c r="G142" s="1">
        <v>2</v>
      </c>
      <c r="H142" s="1">
        <v>3</v>
      </c>
      <c r="I142" s="1">
        <v>2</v>
      </c>
      <c r="J142" s="1">
        <v>2</v>
      </c>
      <c r="K142" s="1">
        <v>2</v>
      </c>
      <c r="L142" s="1">
        <v>3</v>
      </c>
      <c r="M142" s="1">
        <v>2</v>
      </c>
      <c r="N142" s="1">
        <v>3</v>
      </c>
      <c r="O142" s="1">
        <v>2</v>
      </c>
      <c r="P142" s="1">
        <v>3</v>
      </c>
      <c r="Q142" s="1">
        <v>3</v>
      </c>
      <c r="R142" s="27">
        <f t="shared" si="33"/>
        <v>2.5</v>
      </c>
      <c r="S142" s="28" t="str">
        <f t="shared" si="34"/>
        <v>Regular</v>
      </c>
      <c r="T142" s="28">
        <f t="shared" si="35"/>
        <v>2</v>
      </c>
      <c r="U142" s="32">
        <f t="shared" si="36"/>
        <v>2.5</v>
      </c>
      <c r="V142" s="32" t="str">
        <f t="shared" si="37"/>
        <v>Regular</v>
      </c>
      <c r="W142" s="32">
        <f t="shared" si="38"/>
        <v>2</v>
      </c>
      <c r="X142" s="34">
        <f t="shared" si="39"/>
        <v>2.25</v>
      </c>
      <c r="Y142" s="34" t="str">
        <f t="shared" si="40"/>
        <v>Mala</v>
      </c>
      <c r="Z142" s="34">
        <f t="shared" si="41"/>
        <v>1</v>
      </c>
      <c r="AA142" s="36">
        <f t="shared" si="42"/>
        <v>2.75</v>
      </c>
      <c r="AB142" s="36" t="str">
        <f t="shared" si="43"/>
        <v>Regular</v>
      </c>
      <c r="AC142" s="36">
        <f t="shared" si="44"/>
        <v>2</v>
      </c>
      <c r="AD142" s="37">
        <f t="shared" si="45"/>
        <v>2.5</v>
      </c>
      <c r="AE142" s="38" t="str">
        <f t="shared" si="46"/>
        <v>Regular</v>
      </c>
      <c r="AF142" s="38">
        <f t="shared" si="47"/>
        <v>2</v>
      </c>
    </row>
    <row r="143" spans="1:32" x14ac:dyDescent="0.25">
      <c r="A143" t="s">
        <v>157</v>
      </c>
      <c r="B143" s="1">
        <v>2</v>
      </c>
      <c r="C143" s="1">
        <v>2</v>
      </c>
      <c r="D143" s="1">
        <v>2</v>
      </c>
      <c r="E143" s="1">
        <v>2</v>
      </c>
      <c r="F143" s="1">
        <v>2</v>
      </c>
      <c r="G143" s="1">
        <v>2</v>
      </c>
      <c r="H143" s="1">
        <v>2</v>
      </c>
      <c r="I143" s="1">
        <v>3</v>
      </c>
      <c r="J143" s="1">
        <v>3</v>
      </c>
      <c r="K143" s="1">
        <v>2</v>
      </c>
      <c r="L143" s="1">
        <v>2</v>
      </c>
      <c r="M143" s="1">
        <v>2</v>
      </c>
      <c r="N143" s="1">
        <v>2</v>
      </c>
      <c r="O143" s="1">
        <v>2</v>
      </c>
      <c r="P143" s="1">
        <v>3</v>
      </c>
      <c r="Q143" s="1">
        <v>3</v>
      </c>
      <c r="R143" s="27">
        <f t="shared" si="33"/>
        <v>2</v>
      </c>
      <c r="S143" s="28" t="str">
        <f t="shared" si="34"/>
        <v>Mala</v>
      </c>
      <c r="T143" s="28">
        <f t="shared" si="35"/>
        <v>1</v>
      </c>
      <c r="U143" s="32">
        <f t="shared" si="36"/>
        <v>2.25</v>
      </c>
      <c r="V143" s="32" t="str">
        <f t="shared" si="37"/>
        <v>Mala</v>
      </c>
      <c r="W143" s="32">
        <f t="shared" si="38"/>
        <v>1</v>
      </c>
      <c r="X143" s="34">
        <f t="shared" si="39"/>
        <v>2.25</v>
      </c>
      <c r="Y143" s="34" t="str">
        <f t="shared" si="40"/>
        <v>Mala</v>
      </c>
      <c r="Z143" s="34">
        <f t="shared" si="41"/>
        <v>1</v>
      </c>
      <c r="AA143" s="36">
        <f t="shared" si="42"/>
        <v>2.5</v>
      </c>
      <c r="AB143" s="36" t="str">
        <f t="shared" si="43"/>
        <v>Regular</v>
      </c>
      <c r="AC143" s="36">
        <f t="shared" si="44"/>
        <v>2</v>
      </c>
      <c r="AD143" s="37">
        <f t="shared" si="45"/>
        <v>2.25</v>
      </c>
      <c r="AE143" s="38" t="str">
        <f t="shared" si="46"/>
        <v>Mala</v>
      </c>
      <c r="AF143" s="38">
        <f t="shared" si="47"/>
        <v>1</v>
      </c>
    </row>
    <row r="144" spans="1:32" x14ac:dyDescent="0.25">
      <c r="A144" t="s">
        <v>158</v>
      </c>
      <c r="B144" s="1">
        <v>2</v>
      </c>
      <c r="C144" s="1">
        <v>1</v>
      </c>
      <c r="D144" s="1">
        <v>1</v>
      </c>
      <c r="E144" s="1">
        <v>2</v>
      </c>
      <c r="F144" s="1">
        <v>1</v>
      </c>
      <c r="G144" s="1">
        <v>1</v>
      </c>
      <c r="H144" s="1">
        <v>2</v>
      </c>
      <c r="I144" s="1">
        <v>2</v>
      </c>
      <c r="J144" s="1">
        <v>2</v>
      </c>
      <c r="K144" s="1">
        <v>1</v>
      </c>
      <c r="L144" s="1">
        <v>1</v>
      </c>
      <c r="M144" s="1">
        <v>1</v>
      </c>
      <c r="N144" s="1">
        <v>2</v>
      </c>
      <c r="O144" s="1">
        <v>1</v>
      </c>
      <c r="P144" s="1">
        <v>1</v>
      </c>
      <c r="Q144" s="1">
        <v>1</v>
      </c>
      <c r="R144" s="27">
        <f t="shared" si="33"/>
        <v>1.5</v>
      </c>
      <c r="S144" s="28" t="str">
        <f t="shared" si="34"/>
        <v>Mala</v>
      </c>
      <c r="T144" s="28">
        <f t="shared" si="35"/>
        <v>1</v>
      </c>
      <c r="U144" s="32">
        <f t="shared" si="36"/>
        <v>1.5</v>
      </c>
      <c r="V144" s="32" t="str">
        <f t="shared" si="37"/>
        <v>Mala</v>
      </c>
      <c r="W144" s="32">
        <f t="shared" si="38"/>
        <v>1</v>
      </c>
      <c r="X144" s="34">
        <f t="shared" si="39"/>
        <v>1.25</v>
      </c>
      <c r="Y144" s="34" t="str">
        <f t="shared" si="40"/>
        <v>Mala</v>
      </c>
      <c r="Z144" s="34">
        <f t="shared" si="41"/>
        <v>1</v>
      </c>
      <c r="AA144" s="36">
        <f t="shared" si="42"/>
        <v>1.25</v>
      </c>
      <c r="AB144" s="36" t="str">
        <f t="shared" si="43"/>
        <v>Mala</v>
      </c>
      <c r="AC144" s="36">
        <f t="shared" si="44"/>
        <v>1</v>
      </c>
      <c r="AD144" s="37">
        <f t="shared" si="45"/>
        <v>1.375</v>
      </c>
      <c r="AE144" s="38" t="str">
        <f t="shared" si="46"/>
        <v>Mala</v>
      </c>
      <c r="AF144" s="38">
        <f t="shared" si="47"/>
        <v>1</v>
      </c>
    </row>
    <row r="145" spans="1:32" x14ac:dyDescent="0.25">
      <c r="A145" t="s">
        <v>159</v>
      </c>
      <c r="B145" s="1">
        <v>3</v>
      </c>
      <c r="C145" s="1">
        <v>3</v>
      </c>
      <c r="D145" s="1">
        <v>3</v>
      </c>
      <c r="E145" s="1">
        <v>3</v>
      </c>
      <c r="F145" s="1">
        <v>3</v>
      </c>
      <c r="G145" s="1">
        <v>4</v>
      </c>
      <c r="H145" s="1">
        <v>3</v>
      </c>
      <c r="I145" s="1">
        <v>4</v>
      </c>
      <c r="J145" s="1">
        <v>3</v>
      </c>
      <c r="K145" s="1">
        <v>4</v>
      </c>
      <c r="L145" s="1">
        <v>3</v>
      </c>
      <c r="M145" s="1">
        <v>2</v>
      </c>
      <c r="N145" s="1">
        <v>3</v>
      </c>
      <c r="O145" s="1">
        <v>4</v>
      </c>
      <c r="P145" s="1">
        <v>3</v>
      </c>
      <c r="Q145" s="1">
        <v>3</v>
      </c>
      <c r="R145" s="27">
        <f t="shared" si="33"/>
        <v>3</v>
      </c>
      <c r="S145" s="28" t="str">
        <f t="shared" si="34"/>
        <v>Regular</v>
      </c>
      <c r="T145" s="28">
        <f t="shared" si="35"/>
        <v>2</v>
      </c>
      <c r="U145" s="32">
        <f t="shared" si="36"/>
        <v>3.5</v>
      </c>
      <c r="V145" s="32" t="str">
        <f t="shared" si="37"/>
        <v>Regular</v>
      </c>
      <c r="W145" s="32">
        <f t="shared" si="38"/>
        <v>2</v>
      </c>
      <c r="X145" s="34">
        <f t="shared" si="39"/>
        <v>3</v>
      </c>
      <c r="Y145" s="34" t="str">
        <f t="shared" si="40"/>
        <v>Regular</v>
      </c>
      <c r="Z145" s="34">
        <f t="shared" si="41"/>
        <v>2</v>
      </c>
      <c r="AA145" s="36">
        <f t="shared" si="42"/>
        <v>3.25</v>
      </c>
      <c r="AB145" s="36" t="str">
        <f t="shared" si="43"/>
        <v>Regular</v>
      </c>
      <c r="AC145" s="36">
        <f t="shared" si="44"/>
        <v>2</v>
      </c>
      <c r="AD145" s="37">
        <f t="shared" si="45"/>
        <v>3.1875</v>
      </c>
      <c r="AE145" s="38" t="str">
        <f t="shared" si="46"/>
        <v>Regular</v>
      </c>
      <c r="AF145" s="38">
        <f t="shared" si="47"/>
        <v>2</v>
      </c>
    </row>
    <row r="146" spans="1:32" x14ac:dyDescent="0.25">
      <c r="A146" t="s">
        <v>160</v>
      </c>
      <c r="B146" s="1">
        <v>3</v>
      </c>
      <c r="C146" s="1">
        <v>2</v>
      </c>
      <c r="D146" s="1">
        <v>3</v>
      </c>
      <c r="E146" s="1">
        <v>2</v>
      </c>
      <c r="F146" s="1">
        <v>3</v>
      </c>
      <c r="G146" s="1">
        <v>3</v>
      </c>
      <c r="H146" s="1">
        <v>3</v>
      </c>
      <c r="I146" s="1">
        <v>2</v>
      </c>
      <c r="J146" s="1">
        <v>2</v>
      </c>
      <c r="K146" s="1">
        <v>2</v>
      </c>
      <c r="L146" s="1">
        <v>2</v>
      </c>
      <c r="M146" s="1">
        <v>3</v>
      </c>
      <c r="N146" s="1">
        <v>3</v>
      </c>
      <c r="O146" s="1">
        <v>3</v>
      </c>
      <c r="P146" s="1">
        <v>2</v>
      </c>
      <c r="Q146" s="1">
        <v>2</v>
      </c>
      <c r="R146" s="27">
        <f t="shared" si="33"/>
        <v>2.5</v>
      </c>
      <c r="S146" s="28" t="str">
        <f t="shared" si="34"/>
        <v>Regular</v>
      </c>
      <c r="T146" s="28">
        <f t="shared" si="35"/>
        <v>2</v>
      </c>
      <c r="U146" s="32">
        <f t="shared" si="36"/>
        <v>2.75</v>
      </c>
      <c r="V146" s="32" t="str">
        <f t="shared" si="37"/>
        <v>Regular</v>
      </c>
      <c r="W146" s="32">
        <f t="shared" si="38"/>
        <v>2</v>
      </c>
      <c r="X146" s="34">
        <f t="shared" si="39"/>
        <v>2.25</v>
      </c>
      <c r="Y146" s="34" t="str">
        <f t="shared" si="40"/>
        <v>Mala</v>
      </c>
      <c r="Z146" s="34">
        <f t="shared" si="41"/>
        <v>1</v>
      </c>
      <c r="AA146" s="36">
        <f t="shared" si="42"/>
        <v>2.5</v>
      </c>
      <c r="AB146" s="36" t="str">
        <f t="shared" si="43"/>
        <v>Regular</v>
      </c>
      <c r="AC146" s="36">
        <f t="shared" si="44"/>
        <v>2</v>
      </c>
      <c r="AD146" s="37">
        <f t="shared" si="45"/>
        <v>2.5</v>
      </c>
      <c r="AE146" s="38" t="str">
        <f t="shared" si="46"/>
        <v>Regular</v>
      </c>
      <c r="AF146" s="38">
        <f t="shared" si="47"/>
        <v>2</v>
      </c>
    </row>
    <row r="147" spans="1:32" x14ac:dyDescent="0.25">
      <c r="A147" t="s">
        <v>161</v>
      </c>
      <c r="B147" s="1">
        <v>2</v>
      </c>
      <c r="C147" s="1">
        <v>2</v>
      </c>
      <c r="D147" s="1">
        <v>2</v>
      </c>
      <c r="E147" s="1">
        <v>2</v>
      </c>
      <c r="F147" s="1">
        <v>2</v>
      </c>
      <c r="G147" s="1">
        <v>2</v>
      </c>
      <c r="H147" s="1">
        <v>2</v>
      </c>
      <c r="I147" s="1">
        <v>2</v>
      </c>
      <c r="J147" s="1">
        <v>2</v>
      </c>
      <c r="K147" s="1">
        <v>2</v>
      </c>
      <c r="L147" s="1">
        <v>2</v>
      </c>
      <c r="M147" s="1">
        <v>1</v>
      </c>
      <c r="N147" s="1">
        <v>2</v>
      </c>
      <c r="O147" s="1">
        <v>2</v>
      </c>
      <c r="P147" s="1">
        <v>2</v>
      </c>
      <c r="Q147" s="1">
        <v>1</v>
      </c>
      <c r="R147" s="27">
        <f t="shared" si="33"/>
        <v>2</v>
      </c>
      <c r="S147" s="28" t="str">
        <f t="shared" si="34"/>
        <v>Mala</v>
      </c>
      <c r="T147" s="28">
        <f t="shared" si="35"/>
        <v>1</v>
      </c>
      <c r="U147" s="32">
        <f t="shared" si="36"/>
        <v>2</v>
      </c>
      <c r="V147" s="32" t="str">
        <f t="shared" si="37"/>
        <v>Mala</v>
      </c>
      <c r="W147" s="32">
        <f t="shared" si="38"/>
        <v>1</v>
      </c>
      <c r="X147" s="34">
        <f t="shared" si="39"/>
        <v>1.75</v>
      </c>
      <c r="Y147" s="34" t="str">
        <f t="shared" si="40"/>
        <v>Mala</v>
      </c>
      <c r="Z147" s="34">
        <f t="shared" si="41"/>
        <v>1</v>
      </c>
      <c r="AA147" s="36">
        <f t="shared" si="42"/>
        <v>1.75</v>
      </c>
      <c r="AB147" s="36" t="str">
        <f t="shared" si="43"/>
        <v>Mala</v>
      </c>
      <c r="AC147" s="36">
        <f t="shared" si="44"/>
        <v>1</v>
      </c>
      <c r="AD147" s="37">
        <f t="shared" si="45"/>
        <v>1.875</v>
      </c>
      <c r="AE147" s="38" t="str">
        <f t="shared" si="46"/>
        <v>Mala</v>
      </c>
      <c r="AF147" s="38">
        <f t="shared" si="47"/>
        <v>1</v>
      </c>
    </row>
    <row r="148" spans="1:32" x14ac:dyDescent="0.25">
      <c r="A148" t="s">
        <v>162</v>
      </c>
      <c r="B148" s="1">
        <v>3</v>
      </c>
      <c r="C148" s="1">
        <v>4</v>
      </c>
      <c r="D148" s="1">
        <v>3</v>
      </c>
      <c r="E148" s="1">
        <v>4</v>
      </c>
      <c r="F148" s="1">
        <v>3</v>
      </c>
      <c r="G148" s="1">
        <v>2</v>
      </c>
      <c r="H148" s="1">
        <v>3</v>
      </c>
      <c r="I148" s="1">
        <v>4</v>
      </c>
      <c r="J148" s="1">
        <v>4</v>
      </c>
      <c r="K148" s="1">
        <v>3</v>
      </c>
      <c r="L148" s="1">
        <v>2</v>
      </c>
      <c r="M148" s="1">
        <v>3</v>
      </c>
      <c r="N148" s="1">
        <v>4</v>
      </c>
      <c r="O148" s="1">
        <v>3</v>
      </c>
      <c r="P148" s="1">
        <v>3</v>
      </c>
      <c r="Q148" s="1">
        <v>4</v>
      </c>
      <c r="R148" s="27">
        <f t="shared" si="33"/>
        <v>3.5</v>
      </c>
      <c r="S148" s="28" t="str">
        <f t="shared" si="34"/>
        <v>Regular</v>
      </c>
      <c r="T148" s="28">
        <f t="shared" si="35"/>
        <v>2</v>
      </c>
      <c r="U148" s="32">
        <f t="shared" si="36"/>
        <v>3</v>
      </c>
      <c r="V148" s="32" t="str">
        <f t="shared" si="37"/>
        <v>Regular</v>
      </c>
      <c r="W148" s="32">
        <f t="shared" si="38"/>
        <v>2</v>
      </c>
      <c r="X148" s="34">
        <f t="shared" si="39"/>
        <v>3</v>
      </c>
      <c r="Y148" s="34" t="str">
        <f t="shared" si="40"/>
        <v>Regular</v>
      </c>
      <c r="Z148" s="34">
        <f t="shared" si="41"/>
        <v>2</v>
      </c>
      <c r="AA148" s="36">
        <f t="shared" si="42"/>
        <v>3.5</v>
      </c>
      <c r="AB148" s="36" t="str">
        <f t="shared" si="43"/>
        <v>Regular</v>
      </c>
      <c r="AC148" s="36">
        <f t="shared" si="44"/>
        <v>2</v>
      </c>
      <c r="AD148" s="37">
        <f t="shared" si="45"/>
        <v>3.25</v>
      </c>
      <c r="AE148" s="38" t="str">
        <f t="shared" si="46"/>
        <v>Regular</v>
      </c>
      <c r="AF148" s="38">
        <f t="shared" si="47"/>
        <v>2</v>
      </c>
    </row>
    <row r="149" spans="1:32" x14ac:dyDescent="0.25">
      <c r="A149" t="s">
        <v>163</v>
      </c>
      <c r="B149" s="1">
        <v>2</v>
      </c>
      <c r="C149" s="1">
        <v>2</v>
      </c>
      <c r="D149" s="1">
        <v>1</v>
      </c>
      <c r="E149" s="1">
        <v>1</v>
      </c>
      <c r="F149" s="1">
        <v>2</v>
      </c>
      <c r="G149" s="1">
        <v>1</v>
      </c>
      <c r="H149" s="1">
        <v>2</v>
      </c>
      <c r="I149" s="1">
        <v>2</v>
      </c>
      <c r="J149" s="1">
        <v>1</v>
      </c>
      <c r="K149" s="1">
        <v>2</v>
      </c>
      <c r="L149" s="1">
        <v>2</v>
      </c>
      <c r="M149" s="1">
        <v>2</v>
      </c>
      <c r="N149" s="1">
        <v>2</v>
      </c>
      <c r="O149" s="1">
        <v>2</v>
      </c>
      <c r="P149" s="1">
        <v>1</v>
      </c>
      <c r="Q149" s="1">
        <v>1</v>
      </c>
      <c r="R149" s="27">
        <f t="shared" si="33"/>
        <v>1.5</v>
      </c>
      <c r="S149" s="28" t="str">
        <f t="shared" si="34"/>
        <v>Mala</v>
      </c>
      <c r="T149" s="28">
        <f t="shared" si="35"/>
        <v>1</v>
      </c>
      <c r="U149" s="32">
        <f t="shared" si="36"/>
        <v>1.75</v>
      </c>
      <c r="V149" s="32" t="str">
        <f t="shared" si="37"/>
        <v>Mala</v>
      </c>
      <c r="W149" s="32">
        <f t="shared" si="38"/>
        <v>1</v>
      </c>
      <c r="X149" s="34">
        <f t="shared" si="39"/>
        <v>1.75</v>
      </c>
      <c r="Y149" s="34" t="str">
        <f t="shared" si="40"/>
        <v>Mala</v>
      </c>
      <c r="Z149" s="34">
        <f t="shared" si="41"/>
        <v>1</v>
      </c>
      <c r="AA149" s="36">
        <f t="shared" si="42"/>
        <v>1.5</v>
      </c>
      <c r="AB149" s="36" t="str">
        <f t="shared" si="43"/>
        <v>Mala</v>
      </c>
      <c r="AC149" s="36">
        <f t="shared" si="44"/>
        <v>1</v>
      </c>
      <c r="AD149" s="37">
        <f t="shared" si="45"/>
        <v>1.625</v>
      </c>
      <c r="AE149" s="38" t="str">
        <f t="shared" si="46"/>
        <v>Mala</v>
      </c>
      <c r="AF149" s="38">
        <f t="shared" si="47"/>
        <v>1</v>
      </c>
    </row>
    <row r="150" spans="1:32" x14ac:dyDescent="0.25">
      <c r="A150" t="s">
        <v>164</v>
      </c>
      <c r="B150" s="1">
        <v>2</v>
      </c>
      <c r="C150" s="1">
        <v>2</v>
      </c>
      <c r="D150" s="1">
        <v>3</v>
      </c>
      <c r="E150" s="1">
        <v>3</v>
      </c>
      <c r="F150" s="1">
        <v>3</v>
      </c>
      <c r="G150" s="1">
        <v>4</v>
      </c>
      <c r="H150" s="1">
        <v>3</v>
      </c>
      <c r="I150" s="1">
        <v>3</v>
      </c>
      <c r="J150" s="1">
        <v>3</v>
      </c>
      <c r="K150" s="1">
        <v>4</v>
      </c>
      <c r="L150" s="1">
        <v>4</v>
      </c>
      <c r="M150" s="1">
        <v>4</v>
      </c>
      <c r="N150" s="1">
        <v>3</v>
      </c>
      <c r="O150" s="1">
        <v>3</v>
      </c>
      <c r="P150" s="1">
        <v>3</v>
      </c>
      <c r="Q150" s="1">
        <v>4</v>
      </c>
      <c r="R150" s="27">
        <f t="shared" si="33"/>
        <v>2.5</v>
      </c>
      <c r="S150" s="28" t="str">
        <f t="shared" si="34"/>
        <v>Regular</v>
      </c>
      <c r="T150" s="28">
        <f t="shared" si="35"/>
        <v>2</v>
      </c>
      <c r="U150" s="32">
        <f t="shared" si="36"/>
        <v>3.25</v>
      </c>
      <c r="V150" s="32" t="str">
        <f t="shared" si="37"/>
        <v>Regular</v>
      </c>
      <c r="W150" s="32">
        <f t="shared" si="38"/>
        <v>2</v>
      </c>
      <c r="X150" s="34">
        <f t="shared" si="39"/>
        <v>3.75</v>
      </c>
      <c r="Y150" s="34" t="str">
        <f t="shared" si="40"/>
        <v>Buena</v>
      </c>
      <c r="Z150" s="34">
        <f t="shared" si="41"/>
        <v>3</v>
      </c>
      <c r="AA150" s="36">
        <f t="shared" si="42"/>
        <v>3.25</v>
      </c>
      <c r="AB150" s="36" t="str">
        <f t="shared" si="43"/>
        <v>Regular</v>
      </c>
      <c r="AC150" s="36">
        <f t="shared" si="44"/>
        <v>2</v>
      </c>
      <c r="AD150" s="37">
        <f t="shared" si="45"/>
        <v>3.1875</v>
      </c>
      <c r="AE150" s="38" t="str">
        <f t="shared" si="46"/>
        <v>Regular</v>
      </c>
      <c r="AF150" s="38">
        <f t="shared" si="47"/>
        <v>2</v>
      </c>
    </row>
    <row r="151" spans="1:32" x14ac:dyDescent="0.25">
      <c r="A151" t="s">
        <v>165</v>
      </c>
      <c r="B151" s="1">
        <v>4</v>
      </c>
      <c r="C151" s="1">
        <v>4</v>
      </c>
      <c r="D151" s="1">
        <v>2</v>
      </c>
      <c r="E151" s="1">
        <v>3</v>
      </c>
      <c r="F151" s="1">
        <v>3</v>
      </c>
      <c r="G151" s="1">
        <v>4</v>
      </c>
      <c r="H151" s="1">
        <v>3</v>
      </c>
      <c r="I151" s="1">
        <v>4</v>
      </c>
      <c r="J151" s="1">
        <v>4</v>
      </c>
      <c r="K151" s="1">
        <v>3</v>
      </c>
      <c r="L151" s="1">
        <v>4</v>
      </c>
      <c r="M151" s="1">
        <v>4</v>
      </c>
      <c r="N151" s="1">
        <v>3</v>
      </c>
      <c r="O151" s="1">
        <v>2</v>
      </c>
      <c r="P151" s="1">
        <v>2</v>
      </c>
      <c r="Q151" s="1">
        <v>3</v>
      </c>
      <c r="R151" s="27">
        <f t="shared" si="33"/>
        <v>3.25</v>
      </c>
      <c r="S151" s="28" t="str">
        <f t="shared" si="34"/>
        <v>Regular</v>
      </c>
      <c r="T151" s="28">
        <f t="shared" si="35"/>
        <v>2</v>
      </c>
      <c r="U151" s="32">
        <f t="shared" si="36"/>
        <v>3.5</v>
      </c>
      <c r="V151" s="32" t="str">
        <f t="shared" si="37"/>
        <v>Regular</v>
      </c>
      <c r="W151" s="32">
        <f t="shared" si="38"/>
        <v>2</v>
      </c>
      <c r="X151" s="34">
        <f t="shared" si="39"/>
        <v>3.75</v>
      </c>
      <c r="Y151" s="34" t="str">
        <f t="shared" si="40"/>
        <v>Buena</v>
      </c>
      <c r="Z151" s="34">
        <f t="shared" si="41"/>
        <v>3</v>
      </c>
      <c r="AA151" s="36">
        <f t="shared" si="42"/>
        <v>2.5</v>
      </c>
      <c r="AB151" s="36" t="str">
        <f t="shared" si="43"/>
        <v>Regular</v>
      </c>
      <c r="AC151" s="36">
        <f t="shared" si="44"/>
        <v>2</v>
      </c>
      <c r="AD151" s="37">
        <f t="shared" si="45"/>
        <v>3.25</v>
      </c>
      <c r="AE151" s="38" t="str">
        <f t="shared" si="46"/>
        <v>Regular</v>
      </c>
      <c r="AF151" s="38">
        <f t="shared" si="47"/>
        <v>2</v>
      </c>
    </row>
    <row r="152" spans="1:32" x14ac:dyDescent="0.25">
      <c r="A152" t="s">
        <v>166</v>
      </c>
      <c r="B152" s="1">
        <v>1</v>
      </c>
      <c r="C152" s="1">
        <v>2</v>
      </c>
      <c r="D152" s="1">
        <v>1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2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27">
        <f t="shared" si="33"/>
        <v>1.25</v>
      </c>
      <c r="S152" s="28" t="str">
        <f t="shared" si="34"/>
        <v>Mala</v>
      </c>
      <c r="T152" s="28">
        <f t="shared" si="35"/>
        <v>1</v>
      </c>
      <c r="U152" s="32">
        <f t="shared" si="36"/>
        <v>1</v>
      </c>
      <c r="V152" s="32" t="str">
        <f t="shared" si="37"/>
        <v>Mala</v>
      </c>
      <c r="W152" s="32">
        <f t="shared" si="38"/>
        <v>1</v>
      </c>
      <c r="X152" s="34">
        <f t="shared" si="39"/>
        <v>1.25</v>
      </c>
      <c r="Y152" s="34" t="str">
        <f t="shared" si="40"/>
        <v>Mala</v>
      </c>
      <c r="Z152" s="34">
        <f t="shared" si="41"/>
        <v>1</v>
      </c>
      <c r="AA152" s="36">
        <f t="shared" si="42"/>
        <v>1</v>
      </c>
      <c r="AB152" s="36" t="str">
        <f t="shared" si="43"/>
        <v>Mala</v>
      </c>
      <c r="AC152" s="36">
        <f t="shared" si="44"/>
        <v>1</v>
      </c>
      <c r="AD152" s="37">
        <f t="shared" si="45"/>
        <v>1.125</v>
      </c>
      <c r="AE152" s="38" t="str">
        <f t="shared" si="46"/>
        <v>Mala</v>
      </c>
      <c r="AF152" s="38">
        <f t="shared" si="47"/>
        <v>1</v>
      </c>
    </row>
    <row r="153" spans="1:32" x14ac:dyDescent="0.25">
      <c r="A153" t="s">
        <v>167</v>
      </c>
      <c r="B153" s="1">
        <v>4</v>
      </c>
      <c r="C153" s="1">
        <v>3</v>
      </c>
      <c r="D153" s="1">
        <v>3</v>
      </c>
      <c r="E153" s="1">
        <v>5</v>
      </c>
      <c r="F153" s="1">
        <v>3</v>
      </c>
      <c r="G153" s="1">
        <v>3</v>
      </c>
      <c r="H153" s="1">
        <v>3</v>
      </c>
      <c r="I153" s="1">
        <v>5</v>
      </c>
      <c r="J153" s="1">
        <v>3</v>
      </c>
      <c r="K153" s="1">
        <v>3</v>
      </c>
      <c r="L153" s="1">
        <v>4</v>
      </c>
      <c r="M153" s="1">
        <v>4</v>
      </c>
      <c r="N153" s="1">
        <v>3</v>
      </c>
      <c r="O153" s="1">
        <v>3</v>
      </c>
      <c r="P153" s="1">
        <v>4</v>
      </c>
      <c r="Q153" s="1">
        <v>4</v>
      </c>
      <c r="R153" s="27">
        <f t="shared" si="33"/>
        <v>3.75</v>
      </c>
      <c r="S153" s="28" t="str">
        <f t="shared" si="34"/>
        <v>Buena</v>
      </c>
      <c r="T153" s="28">
        <f t="shared" si="35"/>
        <v>3</v>
      </c>
      <c r="U153" s="32">
        <f t="shared" si="36"/>
        <v>3.5</v>
      </c>
      <c r="V153" s="32" t="str">
        <f t="shared" si="37"/>
        <v>Regular</v>
      </c>
      <c r="W153" s="32">
        <f t="shared" si="38"/>
        <v>2</v>
      </c>
      <c r="X153" s="34">
        <f t="shared" si="39"/>
        <v>3.5</v>
      </c>
      <c r="Y153" s="34" t="str">
        <f t="shared" si="40"/>
        <v>Regular</v>
      </c>
      <c r="Z153" s="34">
        <f t="shared" si="41"/>
        <v>2</v>
      </c>
      <c r="AA153" s="36">
        <f t="shared" si="42"/>
        <v>3.5</v>
      </c>
      <c r="AB153" s="36" t="str">
        <f t="shared" si="43"/>
        <v>Regular</v>
      </c>
      <c r="AC153" s="36">
        <f t="shared" si="44"/>
        <v>2</v>
      </c>
      <c r="AD153" s="37">
        <f t="shared" si="45"/>
        <v>3.5625</v>
      </c>
      <c r="AE153" s="38" t="str">
        <f t="shared" si="46"/>
        <v>Regular</v>
      </c>
      <c r="AF153" s="38">
        <f t="shared" si="47"/>
        <v>2</v>
      </c>
    </row>
    <row r="154" spans="1:32" x14ac:dyDescent="0.25">
      <c r="A154" t="s">
        <v>168</v>
      </c>
      <c r="B154" s="1">
        <v>1</v>
      </c>
      <c r="C154" s="1">
        <v>2</v>
      </c>
      <c r="D154" s="1">
        <v>2</v>
      </c>
      <c r="E154" s="1">
        <v>1</v>
      </c>
      <c r="F154" s="1">
        <v>1</v>
      </c>
      <c r="G154" s="1">
        <v>1</v>
      </c>
      <c r="H154" s="1">
        <v>2</v>
      </c>
      <c r="I154" s="1">
        <v>1</v>
      </c>
      <c r="J154" s="1">
        <v>1</v>
      </c>
      <c r="K154" s="1">
        <v>2</v>
      </c>
      <c r="L154" s="1">
        <v>1</v>
      </c>
      <c r="M154" s="1">
        <v>1</v>
      </c>
      <c r="N154" s="1">
        <v>2</v>
      </c>
      <c r="O154" s="1">
        <v>1</v>
      </c>
      <c r="P154" s="1">
        <v>1</v>
      </c>
      <c r="Q154" s="1">
        <v>1</v>
      </c>
      <c r="R154" s="27">
        <f t="shared" si="33"/>
        <v>1.5</v>
      </c>
      <c r="S154" s="28" t="str">
        <f t="shared" si="34"/>
        <v>Mala</v>
      </c>
      <c r="T154" s="28">
        <f t="shared" si="35"/>
        <v>1</v>
      </c>
      <c r="U154" s="32">
        <f t="shared" si="36"/>
        <v>1.25</v>
      </c>
      <c r="V154" s="32" t="str">
        <f t="shared" si="37"/>
        <v>Mala</v>
      </c>
      <c r="W154" s="32">
        <f t="shared" si="38"/>
        <v>1</v>
      </c>
      <c r="X154" s="34">
        <f t="shared" si="39"/>
        <v>1.25</v>
      </c>
      <c r="Y154" s="34" t="str">
        <f t="shared" si="40"/>
        <v>Mala</v>
      </c>
      <c r="Z154" s="34">
        <f t="shared" si="41"/>
        <v>1</v>
      </c>
      <c r="AA154" s="36">
        <f t="shared" si="42"/>
        <v>1.25</v>
      </c>
      <c r="AB154" s="36" t="str">
        <f t="shared" si="43"/>
        <v>Mala</v>
      </c>
      <c r="AC154" s="36">
        <f t="shared" si="44"/>
        <v>1</v>
      </c>
      <c r="AD154" s="37">
        <f t="shared" si="45"/>
        <v>1.3125</v>
      </c>
      <c r="AE154" s="38" t="str">
        <f t="shared" si="46"/>
        <v>Mala</v>
      </c>
      <c r="AF154" s="38">
        <f t="shared" si="47"/>
        <v>1</v>
      </c>
    </row>
    <row r="155" spans="1:32" x14ac:dyDescent="0.25">
      <c r="A155" t="s">
        <v>169</v>
      </c>
      <c r="B155" s="1">
        <v>2</v>
      </c>
      <c r="C155" s="1">
        <v>1</v>
      </c>
      <c r="D155" s="1">
        <v>1</v>
      </c>
      <c r="E155" s="1">
        <v>2</v>
      </c>
      <c r="F155" s="1">
        <v>1</v>
      </c>
      <c r="G155" s="1">
        <v>2</v>
      </c>
      <c r="H155" s="1">
        <v>2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>
        <v>2</v>
      </c>
      <c r="P155" s="1">
        <v>1</v>
      </c>
      <c r="Q155" s="1">
        <v>1</v>
      </c>
      <c r="R155" s="27">
        <f t="shared" si="33"/>
        <v>1.5</v>
      </c>
      <c r="S155" s="28" t="str">
        <f t="shared" si="34"/>
        <v>Mala</v>
      </c>
      <c r="T155" s="28">
        <f t="shared" si="35"/>
        <v>1</v>
      </c>
      <c r="U155" s="32">
        <f t="shared" si="36"/>
        <v>1.5</v>
      </c>
      <c r="V155" s="32" t="str">
        <f t="shared" si="37"/>
        <v>Mala</v>
      </c>
      <c r="W155" s="32">
        <f t="shared" si="38"/>
        <v>1</v>
      </c>
      <c r="X155" s="34">
        <f t="shared" si="39"/>
        <v>1</v>
      </c>
      <c r="Y155" s="34" t="str">
        <f t="shared" si="40"/>
        <v>Mala</v>
      </c>
      <c r="Z155" s="34">
        <f t="shared" si="41"/>
        <v>1</v>
      </c>
      <c r="AA155" s="36">
        <f t="shared" si="42"/>
        <v>1.25</v>
      </c>
      <c r="AB155" s="36" t="str">
        <f t="shared" si="43"/>
        <v>Mala</v>
      </c>
      <c r="AC155" s="36">
        <f t="shared" si="44"/>
        <v>1</v>
      </c>
      <c r="AD155" s="37">
        <f t="shared" si="45"/>
        <v>1.3125</v>
      </c>
      <c r="AE155" s="38" t="str">
        <f t="shared" si="46"/>
        <v>Mala</v>
      </c>
      <c r="AF155" s="38">
        <f t="shared" si="47"/>
        <v>1</v>
      </c>
    </row>
    <row r="156" spans="1:32" x14ac:dyDescent="0.25">
      <c r="A156" t="s">
        <v>170</v>
      </c>
      <c r="B156" s="1">
        <v>4</v>
      </c>
      <c r="C156" s="1">
        <v>3</v>
      </c>
      <c r="D156" s="1">
        <v>3</v>
      </c>
      <c r="E156" s="1">
        <v>4</v>
      </c>
      <c r="F156" s="1">
        <v>3</v>
      </c>
      <c r="G156" s="1">
        <v>4</v>
      </c>
      <c r="H156" s="1">
        <v>3</v>
      </c>
      <c r="I156" s="1">
        <v>4</v>
      </c>
      <c r="J156" s="1">
        <v>3</v>
      </c>
      <c r="K156" s="1">
        <v>4</v>
      </c>
      <c r="L156" s="1">
        <v>3</v>
      </c>
      <c r="M156" s="1">
        <v>4</v>
      </c>
      <c r="N156" s="1">
        <v>4</v>
      </c>
      <c r="O156" s="1">
        <v>3</v>
      </c>
      <c r="P156" s="1">
        <v>3</v>
      </c>
      <c r="Q156" s="1">
        <v>3</v>
      </c>
      <c r="R156" s="27">
        <f t="shared" si="33"/>
        <v>3.5</v>
      </c>
      <c r="S156" s="28" t="str">
        <f t="shared" si="34"/>
        <v>Regular</v>
      </c>
      <c r="T156" s="28">
        <f t="shared" si="35"/>
        <v>2</v>
      </c>
      <c r="U156" s="32">
        <f t="shared" si="36"/>
        <v>3.5</v>
      </c>
      <c r="V156" s="32" t="str">
        <f t="shared" si="37"/>
        <v>Regular</v>
      </c>
      <c r="W156" s="32">
        <f t="shared" si="38"/>
        <v>2</v>
      </c>
      <c r="X156" s="34">
        <f t="shared" si="39"/>
        <v>3.5</v>
      </c>
      <c r="Y156" s="34" t="str">
        <f t="shared" si="40"/>
        <v>Regular</v>
      </c>
      <c r="Z156" s="34">
        <f t="shared" si="41"/>
        <v>2</v>
      </c>
      <c r="AA156" s="36">
        <f t="shared" si="42"/>
        <v>3.25</v>
      </c>
      <c r="AB156" s="36" t="str">
        <f t="shared" si="43"/>
        <v>Regular</v>
      </c>
      <c r="AC156" s="36">
        <f t="shared" si="44"/>
        <v>2</v>
      </c>
      <c r="AD156" s="37">
        <f t="shared" si="45"/>
        <v>3.4375</v>
      </c>
      <c r="AE156" s="38" t="str">
        <f t="shared" si="46"/>
        <v>Regular</v>
      </c>
      <c r="AF156" s="38">
        <f t="shared" si="47"/>
        <v>2</v>
      </c>
    </row>
    <row r="157" spans="1:32" x14ac:dyDescent="0.25">
      <c r="A157" t="s">
        <v>171</v>
      </c>
      <c r="B157" s="1">
        <v>3</v>
      </c>
      <c r="C157" s="1">
        <v>4</v>
      </c>
      <c r="D157" s="1">
        <v>2</v>
      </c>
      <c r="E157" s="1">
        <v>4</v>
      </c>
      <c r="F157" s="1">
        <v>2</v>
      </c>
      <c r="G157" s="1">
        <v>4</v>
      </c>
      <c r="H157" s="1">
        <v>2</v>
      </c>
      <c r="I157" s="1">
        <v>3</v>
      </c>
      <c r="J157" s="1">
        <v>4</v>
      </c>
      <c r="K157" s="1">
        <v>3</v>
      </c>
      <c r="L157" s="1">
        <v>3</v>
      </c>
      <c r="M157" s="1">
        <v>3</v>
      </c>
      <c r="N157" s="1">
        <v>3</v>
      </c>
      <c r="O157" s="1">
        <v>3</v>
      </c>
      <c r="P157" s="1">
        <v>3</v>
      </c>
      <c r="Q157" s="1">
        <v>4</v>
      </c>
      <c r="R157" s="27">
        <f t="shared" si="33"/>
        <v>3.25</v>
      </c>
      <c r="S157" s="28" t="str">
        <f t="shared" si="34"/>
        <v>Regular</v>
      </c>
      <c r="T157" s="28">
        <f t="shared" si="35"/>
        <v>2</v>
      </c>
      <c r="U157" s="32">
        <f t="shared" si="36"/>
        <v>2.75</v>
      </c>
      <c r="V157" s="32" t="str">
        <f t="shared" si="37"/>
        <v>Regular</v>
      </c>
      <c r="W157" s="32">
        <f t="shared" si="38"/>
        <v>2</v>
      </c>
      <c r="X157" s="34">
        <f t="shared" si="39"/>
        <v>3.25</v>
      </c>
      <c r="Y157" s="34" t="str">
        <f t="shared" si="40"/>
        <v>Regular</v>
      </c>
      <c r="Z157" s="34">
        <f t="shared" si="41"/>
        <v>2</v>
      </c>
      <c r="AA157" s="36">
        <f t="shared" si="42"/>
        <v>3.25</v>
      </c>
      <c r="AB157" s="36" t="str">
        <f t="shared" si="43"/>
        <v>Regular</v>
      </c>
      <c r="AC157" s="36">
        <f t="shared" si="44"/>
        <v>2</v>
      </c>
      <c r="AD157" s="37">
        <f t="shared" si="45"/>
        <v>3.125</v>
      </c>
      <c r="AE157" s="38" t="str">
        <f t="shared" si="46"/>
        <v>Regular</v>
      </c>
      <c r="AF157" s="38">
        <f t="shared" si="47"/>
        <v>2</v>
      </c>
    </row>
    <row r="158" spans="1:32" x14ac:dyDescent="0.25">
      <c r="A158" t="s">
        <v>172</v>
      </c>
      <c r="B158" s="1">
        <v>2</v>
      </c>
      <c r="C158" s="1">
        <v>2</v>
      </c>
      <c r="D158" s="1">
        <v>2</v>
      </c>
      <c r="E158" s="1">
        <v>3</v>
      </c>
      <c r="F158" s="1">
        <v>2</v>
      </c>
      <c r="G158" s="1">
        <v>1</v>
      </c>
      <c r="H158" s="1">
        <v>2</v>
      </c>
      <c r="I158" s="1">
        <v>3</v>
      </c>
      <c r="J158" s="1">
        <v>3</v>
      </c>
      <c r="K158" s="1">
        <v>2</v>
      </c>
      <c r="L158" s="1">
        <v>3</v>
      </c>
      <c r="M158" s="1">
        <v>2</v>
      </c>
      <c r="N158" s="1">
        <v>2</v>
      </c>
      <c r="O158" s="1">
        <v>2</v>
      </c>
      <c r="P158" s="1">
        <v>2</v>
      </c>
      <c r="Q158" s="1">
        <v>2</v>
      </c>
      <c r="R158" s="27">
        <f t="shared" si="33"/>
        <v>2.25</v>
      </c>
      <c r="S158" s="28" t="str">
        <f t="shared" si="34"/>
        <v>Mala</v>
      </c>
      <c r="T158" s="28">
        <f t="shared" si="35"/>
        <v>1</v>
      </c>
      <c r="U158" s="32">
        <f t="shared" si="36"/>
        <v>2</v>
      </c>
      <c r="V158" s="32" t="str">
        <f t="shared" si="37"/>
        <v>Mala</v>
      </c>
      <c r="W158" s="32">
        <f t="shared" si="38"/>
        <v>1</v>
      </c>
      <c r="X158" s="34">
        <f t="shared" si="39"/>
        <v>2.5</v>
      </c>
      <c r="Y158" s="34" t="str">
        <f t="shared" si="40"/>
        <v>Regular</v>
      </c>
      <c r="Z158" s="34">
        <f t="shared" si="41"/>
        <v>2</v>
      </c>
      <c r="AA158" s="36">
        <f t="shared" si="42"/>
        <v>2</v>
      </c>
      <c r="AB158" s="36" t="str">
        <f t="shared" si="43"/>
        <v>Mala</v>
      </c>
      <c r="AC158" s="36">
        <f t="shared" si="44"/>
        <v>1</v>
      </c>
      <c r="AD158" s="37">
        <f t="shared" si="45"/>
        <v>2.1875</v>
      </c>
      <c r="AE158" s="38" t="str">
        <f t="shared" si="46"/>
        <v>Mala</v>
      </c>
      <c r="AF158" s="38">
        <f t="shared" si="47"/>
        <v>1</v>
      </c>
    </row>
    <row r="159" spans="1:32" x14ac:dyDescent="0.25">
      <c r="A159" t="s">
        <v>173</v>
      </c>
      <c r="B159" s="1">
        <v>4</v>
      </c>
      <c r="C159" s="1">
        <v>3</v>
      </c>
      <c r="D159" s="1">
        <v>3</v>
      </c>
      <c r="E159" s="1">
        <v>2</v>
      </c>
      <c r="F159" s="1">
        <v>3</v>
      </c>
      <c r="G159" s="1">
        <v>4</v>
      </c>
      <c r="H159" s="1">
        <v>4</v>
      </c>
      <c r="I159" s="1">
        <v>3</v>
      </c>
      <c r="J159" s="1">
        <v>3</v>
      </c>
      <c r="K159" s="1">
        <v>3</v>
      </c>
      <c r="L159" s="1">
        <v>3</v>
      </c>
      <c r="M159" s="1">
        <v>3</v>
      </c>
      <c r="N159" s="1">
        <v>4</v>
      </c>
      <c r="O159" s="1">
        <v>3</v>
      </c>
      <c r="P159" s="1">
        <v>4</v>
      </c>
      <c r="Q159" s="1">
        <v>3</v>
      </c>
      <c r="R159" s="27">
        <f t="shared" si="33"/>
        <v>3</v>
      </c>
      <c r="S159" s="28" t="str">
        <f t="shared" si="34"/>
        <v>Regular</v>
      </c>
      <c r="T159" s="28">
        <f t="shared" si="35"/>
        <v>2</v>
      </c>
      <c r="U159" s="32">
        <f t="shared" si="36"/>
        <v>3.5</v>
      </c>
      <c r="V159" s="32" t="str">
        <f t="shared" si="37"/>
        <v>Regular</v>
      </c>
      <c r="W159" s="32">
        <f t="shared" si="38"/>
        <v>2</v>
      </c>
      <c r="X159" s="34">
        <f t="shared" si="39"/>
        <v>3</v>
      </c>
      <c r="Y159" s="34" t="str">
        <f t="shared" si="40"/>
        <v>Regular</v>
      </c>
      <c r="Z159" s="34">
        <f t="shared" si="41"/>
        <v>2</v>
      </c>
      <c r="AA159" s="36">
        <f t="shared" si="42"/>
        <v>3.5</v>
      </c>
      <c r="AB159" s="36" t="str">
        <f t="shared" si="43"/>
        <v>Regular</v>
      </c>
      <c r="AC159" s="36">
        <f t="shared" si="44"/>
        <v>2</v>
      </c>
      <c r="AD159" s="37">
        <f t="shared" si="45"/>
        <v>3.25</v>
      </c>
      <c r="AE159" s="38" t="str">
        <f t="shared" si="46"/>
        <v>Regular</v>
      </c>
      <c r="AF159" s="38">
        <f t="shared" si="47"/>
        <v>2</v>
      </c>
    </row>
    <row r="160" spans="1:32" x14ac:dyDescent="0.25">
      <c r="A160" t="s">
        <v>174</v>
      </c>
      <c r="B160" s="1">
        <v>2</v>
      </c>
      <c r="C160" s="1">
        <v>3</v>
      </c>
      <c r="D160" s="1">
        <v>4</v>
      </c>
      <c r="E160" s="1">
        <v>3</v>
      </c>
      <c r="F160" s="1">
        <v>2</v>
      </c>
      <c r="G160" s="1">
        <v>3</v>
      </c>
      <c r="H160" s="1">
        <v>3</v>
      </c>
      <c r="I160" s="1">
        <v>3</v>
      </c>
      <c r="J160" s="1">
        <v>3</v>
      </c>
      <c r="K160" s="1">
        <v>3</v>
      </c>
      <c r="L160" s="1">
        <v>3</v>
      </c>
      <c r="M160" s="1">
        <v>2</v>
      </c>
      <c r="N160" s="1">
        <v>2</v>
      </c>
      <c r="O160" s="1">
        <v>2</v>
      </c>
      <c r="P160" s="1">
        <v>4</v>
      </c>
      <c r="Q160" s="1">
        <v>3</v>
      </c>
      <c r="R160" s="27">
        <f t="shared" si="33"/>
        <v>3</v>
      </c>
      <c r="S160" s="28" t="str">
        <f t="shared" si="34"/>
        <v>Regular</v>
      </c>
      <c r="T160" s="28">
        <f t="shared" si="35"/>
        <v>2</v>
      </c>
      <c r="U160" s="32">
        <f t="shared" si="36"/>
        <v>2.75</v>
      </c>
      <c r="V160" s="32" t="str">
        <f t="shared" si="37"/>
        <v>Regular</v>
      </c>
      <c r="W160" s="32">
        <f t="shared" si="38"/>
        <v>2</v>
      </c>
      <c r="X160" s="34">
        <f t="shared" si="39"/>
        <v>2.75</v>
      </c>
      <c r="Y160" s="34" t="str">
        <f t="shared" si="40"/>
        <v>Regular</v>
      </c>
      <c r="Z160" s="34">
        <f t="shared" si="41"/>
        <v>2</v>
      </c>
      <c r="AA160" s="36">
        <f t="shared" si="42"/>
        <v>2.75</v>
      </c>
      <c r="AB160" s="36" t="str">
        <f t="shared" si="43"/>
        <v>Regular</v>
      </c>
      <c r="AC160" s="36">
        <f t="shared" si="44"/>
        <v>2</v>
      </c>
      <c r="AD160" s="37">
        <f t="shared" si="45"/>
        <v>2.8125</v>
      </c>
      <c r="AE160" s="38" t="str">
        <f t="shared" si="46"/>
        <v>Regular</v>
      </c>
      <c r="AF160" s="38">
        <f t="shared" si="47"/>
        <v>2</v>
      </c>
    </row>
    <row r="161" spans="1:32" x14ac:dyDescent="0.25">
      <c r="A161" t="s">
        <v>175</v>
      </c>
      <c r="B161" s="1">
        <v>3</v>
      </c>
      <c r="C161" s="1">
        <v>3</v>
      </c>
      <c r="D161" s="1">
        <v>2</v>
      </c>
      <c r="E161" s="1">
        <v>3</v>
      </c>
      <c r="F161" s="1">
        <v>3</v>
      </c>
      <c r="G161" s="1">
        <v>3</v>
      </c>
      <c r="H161" s="1">
        <v>3</v>
      </c>
      <c r="I161" s="1">
        <v>4</v>
      </c>
      <c r="J161" s="1">
        <v>3</v>
      </c>
      <c r="K161" s="1">
        <v>3</v>
      </c>
      <c r="L161" s="1">
        <v>3</v>
      </c>
      <c r="M161" s="1">
        <v>3</v>
      </c>
      <c r="N161" s="1">
        <v>2</v>
      </c>
      <c r="O161" s="1">
        <v>3</v>
      </c>
      <c r="P161" s="1">
        <v>3</v>
      </c>
      <c r="Q161" s="1">
        <v>3</v>
      </c>
      <c r="R161" s="27">
        <f t="shared" si="33"/>
        <v>2.75</v>
      </c>
      <c r="S161" s="28" t="str">
        <f t="shared" si="34"/>
        <v>Regular</v>
      </c>
      <c r="T161" s="28">
        <f t="shared" si="35"/>
        <v>2</v>
      </c>
      <c r="U161" s="32">
        <f t="shared" si="36"/>
        <v>3.25</v>
      </c>
      <c r="V161" s="32" t="str">
        <f t="shared" si="37"/>
        <v>Regular</v>
      </c>
      <c r="W161" s="32">
        <f t="shared" si="38"/>
        <v>2</v>
      </c>
      <c r="X161" s="34">
        <f t="shared" si="39"/>
        <v>3</v>
      </c>
      <c r="Y161" s="34" t="str">
        <f t="shared" si="40"/>
        <v>Regular</v>
      </c>
      <c r="Z161" s="34">
        <f t="shared" si="41"/>
        <v>2</v>
      </c>
      <c r="AA161" s="36">
        <f t="shared" si="42"/>
        <v>2.75</v>
      </c>
      <c r="AB161" s="36" t="str">
        <f t="shared" si="43"/>
        <v>Regular</v>
      </c>
      <c r="AC161" s="36">
        <f t="shared" si="44"/>
        <v>2</v>
      </c>
      <c r="AD161" s="37">
        <f t="shared" si="45"/>
        <v>2.9375</v>
      </c>
      <c r="AE161" s="38" t="str">
        <f t="shared" si="46"/>
        <v>Regular</v>
      </c>
      <c r="AF161" s="38">
        <f t="shared" si="47"/>
        <v>2</v>
      </c>
    </row>
    <row r="162" spans="1:32" x14ac:dyDescent="0.25">
      <c r="A162" t="s">
        <v>176</v>
      </c>
      <c r="B162" s="1">
        <v>4</v>
      </c>
      <c r="C162" s="1">
        <v>2</v>
      </c>
      <c r="D162" s="1">
        <v>4</v>
      </c>
      <c r="E162" s="1">
        <v>3</v>
      </c>
      <c r="F162" s="1">
        <v>2</v>
      </c>
      <c r="G162" s="1">
        <v>4</v>
      </c>
      <c r="H162" s="1">
        <v>4</v>
      </c>
      <c r="I162" s="1">
        <v>3</v>
      </c>
      <c r="J162" s="1">
        <v>2</v>
      </c>
      <c r="K162" s="1">
        <v>3</v>
      </c>
      <c r="L162" s="1">
        <v>3</v>
      </c>
      <c r="M162" s="1">
        <v>4</v>
      </c>
      <c r="N162" s="1">
        <v>2</v>
      </c>
      <c r="O162" s="1">
        <v>3</v>
      </c>
      <c r="P162" s="1">
        <v>3</v>
      </c>
      <c r="Q162" s="1">
        <v>4</v>
      </c>
      <c r="R162" s="27">
        <f t="shared" si="33"/>
        <v>3.25</v>
      </c>
      <c r="S162" s="28" t="str">
        <f t="shared" si="34"/>
        <v>Regular</v>
      </c>
      <c r="T162" s="28">
        <f t="shared" si="35"/>
        <v>2</v>
      </c>
      <c r="U162" s="32">
        <f t="shared" si="36"/>
        <v>3.25</v>
      </c>
      <c r="V162" s="32" t="str">
        <f t="shared" si="37"/>
        <v>Regular</v>
      </c>
      <c r="W162" s="32">
        <f t="shared" si="38"/>
        <v>2</v>
      </c>
      <c r="X162" s="34">
        <f t="shared" si="39"/>
        <v>3</v>
      </c>
      <c r="Y162" s="34" t="str">
        <f t="shared" si="40"/>
        <v>Regular</v>
      </c>
      <c r="Z162" s="34">
        <f t="shared" si="41"/>
        <v>2</v>
      </c>
      <c r="AA162" s="36">
        <f t="shared" si="42"/>
        <v>3</v>
      </c>
      <c r="AB162" s="36" t="str">
        <f t="shared" si="43"/>
        <v>Regular</v>
      </c>
      <c r="AC162" s="36">
        <f t="shared" si="44"/>
        <v>2</v>
      </c>
      <c r="AD162" s="37">
        <f t="shared" si="45"/>
        <v>3.125</v>
      </c>
      <c r="AE162" s="38" t="str">
        <f t="shared" si="46"/>
        <v>Regular</v>
      </c>
      <c r="AF162" s="38">
        <f t="shared" si="47"/>
        <v>2</v>
      </c>
    </row>
    <row r="163" spans="1:32" x14ac:dyDescent="0.25">
      <c r="A163" t="s">
        <v>177</v>
      </c>
      <c r="B163" s="1">
        <v>3</v>
      </c>
      <c r="C163" s="1">
        <v>3</v>
      </c>
      <c r="D163" s="1">
        <v>4</v>
      </c>
      <c r="E163" s="1">
        <v>3</v>
      </c>
      <c r="F163" s="1">
        <v>2</v>
      </c>
      <c r="G163" s="1">
        <v>4</v>
      </c>
      <c r="H163" s="1">
        <v>4</v>
      </c>
      <c r="I163" s="1">
        <v>4</v>
      </c>
      <c r="J163" s="1">
        <v>4</v>
      </c>
      <c r="K163" s="1">
        <v>3</v>
      </c>
      <c r="L163" s="1">
        <v>3</v>
      </c>
      <c r="M163" s="1">
        <v>2</v>
      </c>
      <c r="N163" s="1">
        <v>5</v>
      </c>
      <c r="O163" s="1">
        <v>3</v>
      </c>
      <c r="P163" s="1">
        <v>4</v>
      </c>
      <c r="Q163" s="1">
        <v>3</v>
      </c>
      <c r="R163" s="27">
        <f t="shared" si="33"/>
        <v>3.25</v>
      </c>
      <c r="S163" s="28" t="str">
        <f t="shared" ref="S163:S194" si="48">IF(R163&lt;=$AR$11,$AP$11,IF(R163&lt;=$AR$12,$AP$12,IF(R163&lt;=$AR$13,$AP$13,0)))</f>
        <v>Regular</v>
      </c>
      <c r="T163" s="28">
        <f t="shared" ref="T163:T194" si="49">IF(S163=$AP$11,$AO$11,IF(S163=$AP$12,$AO$12,IF(S163=$AP$13,$AO$13,0)))</f>
        <v>2</v>
      </c>
      <c r="U163" s="32">
        <f t="shared" si="36"/>
        <v>3.5</v>
      </c>
      <c r="V163" s="32" t="str">
        <f t="shared" ref="V163:V194" si="50">IF(U163&lt;=$AR$11,$AP$11,IF(U163&lt;=$AR$12,$AP$12,IF(U163&lt;=$AR$13,$AP$13,0)))</f>
        <v>Regular</v>
      </c>
      <c r="W163" s="32">
        <f t="shared" ref="W163:W194" si="51">IF(V163=$AP$11,$AO$11,IF(V163=$AP$12,$AO$12,IF(V163=$AP$13,$AO$13,0)))</f>
        <v>2</v>
      </c>
      <c r="X163" s="34">
        <f t="shared" si="39"/>
        <v>3</v>
      </c>
      <c r="Y163" s="34" t="str">
        <f t="shared" ref="Y163:Y194" si="52">IF(X163&lt;=$AR$11,$AP$11,IF(X163&lt;=$AR$12,$AP$12,IF(X163&lt;=$AR$13,$AP$13,0)))</f>
        <v>Regular</v>
      </c>
      <c r="Z163" s="34">
        <f t="shared" ref="Z163:Z194" si="53">IF(Y163=$AP$11,$AO$11,IF(Y163=$AP$12,$AO$12,IF(Y163=$AP$13,$AO$13,0)))</f>
        <v>2</v>
      </c>
      <c r="AA163" s="36">
        <f t="shared" si="42"/>
        <v>3.75</v>
      </c>
      <c r="AB163" s="36" t="str">
        <f t="shared" si="43"/>
        <v>Buena</v>
      </c>
      <c r="AC163" s="36">
        <f t="shared" si="44"/>
        <v>3</v>
      </c>
      <c r="AD163" s="37">
        <f t="shared" si="45"/>
        <v>3.375</v>
      </c>
      <c r="AE163" s="38" t="str">
        <f t="shared" si="46"/>
        <v>Regular</v>
      </c>
      <c r="AF163" s="38">
        <f t="shared" si="47"/>
        <v>2</v>
      </c>
    </row>
    <row r="164" spans="1:32" x14ac:dyDescent="0.25">
      <c r="A164" t="s">
        <v>178</v>
      </c>
      <c r="B164" s="1">
        <v>2</v>
      </c>
      <c r="C164" s="1">
        <v>1</v>
      </c>
      <c r="D164" s="1">
        <v>2</v>
      </c>
      <c r="E164" s="1">
        <v>1</v>
      </c>
      <c r="F164" s="1">
        <v>1</v>
      </c>
      <c r="G164" s="1">
        <v>1</v>
      </c>
      <c r="H164" s="1">
        <v>2</v>
      </c>
      <c r="I164" s="1">
        <v>2</v>
      </c>
      <c r="J164" s="1">
        <v>1</v>
      </c>
      <c r="K164" s="1">
        <v>1</v>
      </c>
      <c r="L164" s="1">
        <v>2</v>
      </c>
      <c r="M164" s="1">
        <v>2</v>
      </c>
      <c r="N164" s="1">
        <v>2</v>
      </c>
      <c r="O164" s="1">
        <v>2</v>
      </c>
      <c r="P164" s="1">
        <v>1</v>
      </c>
      <c r="Q164" s="1">
        <v>2</v>
      </c>
      <c r="R164" s="27">
        <f t="shared" si="33"/>
        <v>1.5</v>
      </c>
      <c r="S164" s="28" t="str">
        <f t="shared" si="48"/>
        <v>Mala</v>
      </c>
      <c r="T164" s="28">
        <f t="shared" si="49"/>
        <v>1</v>
      </c>
      <c r="U164" s="32">
        <f t="shared" si="36"/>
        <v>1.5</v>
      </c>
      <c r="V164" s="32" t="str">
        <f t="shared" si="50"/>
        <v>Mala</v>
      </c>
      <c r="W164" s="32">
        <f t="shared" si="51"/>
        <v>1</v>
      </c>
      <c r="X164" s="34">
        <f t="shared" si="39"/>
        <v>1.5</v>
      </c>
      <c r="Y164" s="34" t="str">
        <f t="shared" si="52"/>
        <v>Mala</v>
      </c>
      <c r="Z164" s="34">
        <f t="shared" si="53"/>
        <v>1</v>
      </c>
      <c r="AA164" s="36">
        <f t="shared" si="42"/>
        <v>1.75</v>
      </c>
      <c r="AB164" s="36" t="str">
        <f t="shared" si="43"/>
        <v>Mala</v>
      </c>
      <c r="AC164" s="36">
        <f t="shared" si="44"/>
        <v>1</v>
      </c>
      <c r="AD164" s="37">
        <f t="shared" si="45"/>
        <v>1.5625</v>
      </c>
      <c r="AE164" s="38" t="str">
        <f t="shared" si="46"/>
        <v>Mala</v>
      </c>
      <c r="AF164" s="38">
        <f t="shared" si="47"/>
        <v>1</v>
      </c>
    </row>
    <row r="165" spans="1:32" x14ac:dyDescent="0.25">
      <c r="A165" t="s">
        <v>179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27">
        <f t="shared" si="33"/>
        <v>1</v>
      </c>
      <c r="S165" s="28" t="str">
        <f t="shared" si="48"/>
        <v>Mala</v>
      </c>
      <c r="T165" s="28">
        <f t="shared" si="49"/>
        <v>1</v>
      </c>
      <c r="U165" s="32">
        <f t="shared" si="36"/>
        <v>1</v>
      </c>
      <c r="V165" s="32" t="str">
        <f t="shared" si="50"/>
        <v>Mala</v>
      </c>
      <c r="W165" s="32">
        <f t="shared" si="51"/>
        <v>1</v>
      </c>
      <c r="X165" s="34">
        <f t="shared" si="39"/>
        <v>1</v>
      </c>
      <c r="Y165" s="34" t="str">
        <f t="shared" si="52"/>
        <v>Mala</v>
      </c>
      <c r="Z165" s="34">
        <f t="shared" si="53"/>
        <v>1</v>
      </c>
      <c r="AA165" s="36">
        <f t="shared" si="42"/>
        <v>1</v>
      </c>
      <c r="AB165" s="36" t="str">
        <f t="shared" si="43"/>
        <v>Mala</v>
      </c>
      <c r="AC165" s="36">
        <f t="shared" si="44"/>
        <v>1</v>
      </c>
      <c r="AD165" s="37">
        <f t="shared" si="45"/>
        <v>1</v>
      </c>
      <c r="AE165" s="38" t="str">
        <f t="shared" si="46"/>
        <v>Mala</v>
      </c>
      <c r="AF165" s="38">
        <f t="shared" si="47"/>
        <v>1</v>
      </c>
    </row>
    <row r="166" spans="1:32" x14ac:dyDescent="0.25">
      <c r="A166" t="s">
        <v>180</v>
      </c>
      <c r="B166" s="1">
        <v>2</v>
      </c>
      <c r="C166" s="1">
        <v>1</v>
      </c>
      <c r="D166" s="1">
        <v>2</v>
      </c>
      <c r="E166" s="1">
        <v>2</v>
      </c>
      <c r="F166" s="1">
        <v>3</v>
      </c>
      <c r="G166" s="1">
        <v>3</v>
      </c>
      <c r="H166" s="1">
        <v>2</v>
      </c>
      <c r="I166" s="1">
        <v>2</v>
      </c>
      <c r="J166" s="1">
        <v>2</v>
      </c>
      <c r="K166" s="1">
        <v>2</v>
      </c>
      <c r="L166" s="1">
        <v>3</v>
      </c>
      <c r="M166" s="1">
        <v>2</v>
      </c>
      <c r="N166" s="1">
        <v>3</v>
      </c>
      <c r="O166" s="1">
        <v>2</v>
      </c>
      <c r="P166" s="1">
        <v>2</v>
      </c>
      <c r="Q166" s="1">
        <v>3</v>
      </c>
      <c r="R166" s="27">
        <f t="shared" si="33"/>
        <v>1.75</v>
      </c>
      <c r="S166" s="28" t="str">
        <f t="shared" si="48"/>
        <v>Mala</v>
      </c>
      <c r="T166" s="28">
        <f t="shared" si="49"/>
        <v>1</v>
      </c>
      <c r="U166" s="32">
        <f t="shared" si="36"/>
        <v>2.5</v>
      </c>
      <c r="V166" s="32" t="str">
        <f t="shared" si="50"/>
        <v>Regular</v>
      </c>
      <c r="W166" s="32">
        <f t="shared" si="51"/>
        <v>2</v>
      </c>
      <c r="X166" s="34">
        <f t="shared" si="39"/>
        <v>2.25</v>
      </c>
      <c r="Y166" s="34" t="str">
        <f t="shared" si="52"/>
        <v>Mala</v>
      </c>
      <c r="Z166" s="34">
        <f t="shared" si="53"/>
        <v>1</v>
      </c>
      <c r="AA166" s="36">
        <f t="shared" si="42"/>
        <v>2.5</v>
      </c>
      <c r="AB166" s="36" t="str">
        <f t="shared" si="43"/>
        <v>Regular</v>
      </c>
      <c r="AC166" s="36">
        <f t="shared" si="44"/>
        <v>2</v>
      </c>
      <c r="AD166" s="37">
        <f t="shared" si="45"/>
        <v>2.25</v>
      </c>
      <c r="AE166" s="38" t="str">
        <f t="shared" si="46"/>
        <v>Mala</v>
      </c>
      <c r="AF166" s="38">
        <f t="shared" si="47"/>
        <v>1</v>
      </c>
    </row>
    <row r="167" spans="1:32" x14ac:dyDescent="0.25">
      <c r="A167" t="s">
        <v>181</v>
      </c>
      <c r="B167" s="1">
        <v>2</v>
      </c>
      <c r="C167" s="1">
        <v>2</v>
      </c>
      <c r="D167" s="1">
        <v>1</v>
      </c>
      <c r="E167" s="1">
        <v>2</v>
      </c>
      <c r="F167" s="1">
        <v>2</v>
      </c>
      <c r="G167" s="1">
        <v>3</v>
      </c>
      <c r="H167" s="1">
        <v>2</v>
      </c>
      <c r="I167" s="1">
        <v>2</v>
      </c>
      <c r="J167" s="1">
        <v>2</v>
      </c>
      <c r="K167" s="1">
        <v>2</v>
      </c>
      <c r="L167" s="1">
        <v>3</v>
      </c>
      <c r="M167" s="1">
        <v>2</v>
      </c>
      <c r="N167" s="1">
        <v>2</v>
      </c>
      <c r="O167" s="1">
        <v>1</v>
      </c>
      <c r="P167" s="1">
        <v>2</v>
      </c>
      <c r="Q167" s="1">
        <v>2</v>
      </c>
      <c r="R167" s="27">
        <f t="shared" si="33"/>
        <v>1.75</v>
      </c>
      <c r="S167" s="28" t="str">
        <f t="shared" si="48"/>
        <v>Mala</v>
      </c>
      <c r="T167" s="28">
        <f t="shared" si="49"/>
        <v>1</v>
      </c>
      <c r="U167" s="32">
        <f t="shared" si="36"/>
        <v>2.25</v>
      </c>
      <c r="V167" s="32" t="str">
        <f t="shared" si="50"/>
        <v>Mala</v>
      </c>
      <c r="W167" s="32">
        <f t="shared" si="51"/>
        <v>1</v>
      </c>
      <c r="X167" s="34">
        <f t="shared" si="39"/>
        <v>2.25</v>
      </c>
      <c r="Y167" s="34" t="str">
        <f t="shared" si="52"/>
        <v>Mala</v>
      </c>
      <c r="Z167" s="34">
        <f t="shared" si="53"/>
        <v>1</v>
      </c>
      <c r="AA167" s="36">
        <f t="shared" si="42"/>
        <v>1.75</v>
      </c>
      <c r="AB167" s="36" t="str">
        <f t="shared" si="43"/>
        <v>Mala</v>
      </c>
      <c r="AC167" s="36">
        <f t="shared" si="44"/>
        <v>1</v>
      </c>
      <c r="AD167" s="37">
        <f t="shared" si="45"/>
        <v>2</v>
      </c>
      <c r="AE167" s="38" t="str">
        <f t="shared" si="46"/>
        <v>Mala</v>
      </c>
      <c r="AF167" s="38">
        <f t="shared" si="47"/>
        <v>1</v>
      </c>
    </row>
    <row r="168" spans="1:32" x14ac:dyDescent="0.25">
      <c r="A168" t="s">
        <v>182</v>
      </c>
      <c r="B168" s="1">
        <v>1</v>
      </c>
      <c r="C168" s="1">
        <v>1</v>
      </c>
      <c r="D168" s="1">
        <v>2</v>
      </c>
      <c r="E168" s="1">
        <v>1</v>
      </c>
      <c r="F168" s="1">
        <v>1</v>
      </c>
      <c r="G168" s="1">
        <v>2</v>
      </c>
      <c r="H168" s="1">
        <v>2</v>
      </c>
      <c r="I168" s="1">
        <v>2</v>
      </c>
      <c r="J168" s="1">
        <v>1</v>
      </c>
      <c r="K168" s="1">
        <v>2</v>
      </c>
      <c r="L168" s="1">
        <v>2</v>
      </c>
      <c r="M168" s="1">
        <v>1</v>
      </c>
      <c r="N168" s="1">
        <v>2</v>
      </c>
      <c r="O168" s="1">
        <v>2</v>
      </c>
      <c r="P168" s="1">
        <v>1</v>
      </c>
      <c r="Q168" s="1">
        <v>2</v>
      </c>
      <c r="R168" s="27">
        <f t="shared" si="33"/>
        <v>1.25</v>
      </c>
      <c r="S168" s="28" t="str">
        <f t="shared" si="48"/>
        <v>Mala</v>
      </c>
      <c r="T168" s="28">
        <f t="shared" si="49"/>
        <v>1</v>
      </c>
      <c r="U168" s="32">
        <f t="shared" si="36"/>
        <v>1.75</v>
      </c>
      <c r="V168" s="32" t="str">
        <f t="shared" si="50"/>
        <v>Mala</v>
      </c>
      <c r="W168" s="32">
        <f t="shared" si="51"/>
        <v>1</v>
      </c>
      <c r="X168" s="34">
        <f t="shared" si="39"/>
        <v>1.5</v>
      </c>
      <c r="Y168" s="34" t="str">
        <f t="shared" si="52"/>
        <v>Mala</v>
      </c>
      <c r="Z168" s="34">
        <f t="shared" si="53"/>
        <v>1</v>
      </c>
      <c r="AA168" s="36">
        <f t="shared" si="42"/>
        <v>1.75</v>
      </c>
      <c r="AB168" s="36" t="str">
        <f t="shared" si="43"/>
        <v>Mala</v>
      </c>
      <c r="AC168" s="36">
        <f t="shared" si="44"/>
        <v>1</v>
      </c>
      <c r="AD168" s="37">
        <f t="shared" si="45"/>
        <v>1.5625</v>
      </c>
      <c r="AE168" s="38" t="str">
        <f t="shared" si="46"/>
        <v>Mala</v>
      </c>
      <c r="AF168" s="38">
        <f t="shared" si="47"/>
        <v>1</v>
      </c>
    </row>
    <row r="169" spans="1:32" x14ac:dyDescent="0.25">
      <c r="A169" t="s">
        <v>183</v>
      </c>
      <c r="B169" s="1">
        <v>2</v>
      </c>
      <c r="C169" s="1">
        <v>2</v>
      </c>
      <c r="D169" s="1">
        <v>2</v>
      </c>
      <c r="E169" s="1">
        <v>2</v>
      </c>
      <c r="F169" s="1">
        <v>2</v>
      </c>
      <c r="G169" s="1">
        <v>2</v>
      </c>
      <c r="H169" s="1">
        <v>2</v>
      </c>
      <c r="I169" s="1">
        <v>2</v>
      </c>
      <c r="J169" s="1">
        <v>2</v>
      </c>
      <c r="K169" s="1">
        <v>1</v>
      </c>
      <c r="L169" s="1">
        <v>2</v>
      </c>
      <c r="M169" s="1">
        <v>2</v>
      </c>
      <c r="N169" s="1">
        <v>2</v>
      </c>
      <c r="O169" s="1">
        <v>2</v>
      </c>
      <c r="P169" s="1">
        <v>2</v>
      </c>
      <c r="Q169" s="1">
        <v>2</v>
      </c>
      <c r="R169" s="27">
        <f t="shared" si="33"/>
        <v>2</v>
      </c>
      <c r="S169" s="28" t="str">
        <f t="shared" si="48"/>
        <v>Mala</v>
      </c>
      <c r="T169" s="28">
        <f t="shared" si="49"/>
        <v>1</v>
      </c>
      <c r="U169" s="32">
        <f t="shared" si="36"/>
        <v>2</v>
      </c>
      <c r="V169" s="32" t="str">
        <f t="shared" si="50"/>
        <v>Mala</v>
      </c>
      <c r="W169" s="32">
        <f t="shared" si="51"/>
        <v>1</v>
      </c>
      <c r="X169" s="34">
        <f t="shared" si="39"/>
        <v>1.75</v>
      </c>
      <c r="Y169" s="34" t="str">
        <f t="shared" si="52"/>
        <v>Mala</v>
      </c>
      <c r="Z169" s="34">
        <f t="shared" si="53"/>
        <v>1</v>
      </c>
      <c r="AA169" s="36">
        <f t="shared" si="42"/>
        <v>2</v>
      </c>
      <c r="AB169" s="36" t="str">
        <f t="shared" si="43"/>
        <v>Mala</v>
      </c>
      <c r="AC169" s="36">
        <f t="shared" si="44"/>
        <v>1</v>
      </c>
      <c r="AD169" s="37">
        <f t="shared" si="45"/>
        <v>1.9375</v>
      </c>
      <c r="AE169" s="38" t="str">
        <f t="shared" si="46"/>
        <v>Mala</v>
      </c>
      <c r="AF169" s="38">
        <f t="shared" si="47"/>
        <v>1</v>
      </c>
    </row>
    <row r="170" spans="1:32" x14ac:dyDescent="0.25">
      <c r="A170" t="s">
        <v>184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  <c r="G170" s="1">
        <v>2</v>
      </c>
      <c r="H170" s="1">
        <v>1</v>
      </c>
      <c r="I170" s="1">
        <v>1</v>
      </c>
      <c r="J170" s="1">
        <v>2</v>
      </c>
      <c r="K170" s="1">
        <v>1</v>
      </c>
      <c r="L170" s="1">
        <v>2</v>
      </c>
      <c r="M170" s="1">
        <v>1</v>
      </c>
      <c r="N170" s="1">
        <v>2</v>
      </c>
      <c r="O170" s="1">
        <v>1</v>
      </c>
      <c r="P170" s="1">
        <v>2</v>
      </c>
      <c r="Q170" s="1">
        <v>1</v>
      </c>
      <c r="R170" s="27">
        <f t="shared" si="33"/>
        <v>1</v>
      </c>
      <c r="S170" s="28" t="str">
        <f t="shared" si="48"/>
        <v>Mala</v>
      </c>
      <c r="T170" s="28">
        <f t="shared" si="49"/>
        <v>1</v>
      </c>
      <c r="U170" s="32">
        <f t="shared" si="36"/>
        <v>1.25</v>
      </c>
      <c r="V170" s="32" t="str">
        <f t="shared" si="50"/>
        <v>Mala</v>
      </c>
      <c r="W170" s="32">
        <f t="shared" si="51"/>
        <v>1</v>
      </c>
      <c r="X170" s="34">
        <f t="shared" si="39"/>
        <v>1.5</v>
      </c>
      <c r="Y170" s="34" t="str">
        <f t="shared" si="52"/>
        <v>Mala</v>
      </c>
      <c r="Z170" s="34">
        <f t="shared" si="53"/>
        <v>1</v>
      </c>
      <c r="AA170" s="36">
        <f t="shared" si="42"/>
        <v>1.5</v>
      </c>
      <c r="AB170" s="36" t="str">
        <f t="shared" si="43"/>
        <v>Mala</v>
      </c>
      <c r="AC170" s="36">
        <f t="shared" si="44"/>
        <v>1</v>
      </c>
      <c r="AD170" s="37">
        <f t="shared" si="45"/>
        <v>1.3125</v>
      </c>
      <c r="AE170" s="38" t="str">
        <f t="shared" si="46"/>
        <v>Mala</v>
      </c>
      <c r="AF170" s="38">
        <f t="shared" si="47"/>
        <v>1</v>
      </c>
    </row>
    <row r="171" spans="1:32" x14ac:dyDescent="0.25">
      <c r="A171" t="s">
        <v>185</v>
      </c>
      <c r="B171" s="1">
        <v>1</v>
      </c>
      <c r="C171" s="1">
        <v>1</v>
      </c>
      <c r="D171" s="1">
        <v>2</v>
      </c>
      <c r="E171" s="1">
        <v>2</v>
      </c>
      <c r="F171" s="1">
        <v>1</v>
      </c>
      <c r="G171" s="1">
        <v>1</v>
      </c>
      <c r="H171" s="1">
        <v>2</v>
      </c>
      <c r="I171" s="1">
        <v>2</v>
      </c>
      <c r="J171" s="1">
        <v>1</v>
      </c>
      <c r="K171" s="1">
        <v>2</v>
      </c>
      <c r="L171" s="1">
        <v>2</v>
      </c>
      <c r="M171" s="1">
        <v>1</v>
      </c>
      <c r="N171" s="1">
        <v>2</v>
      </c>
      <c r="O171" s="1">
        <v>1</v>
      </c>
      <c r="P171" s="1">
        <v>1</v>
      </c>
      <c r="Q171" s="1">
        <v>2</v>
      </c>
      <c r="R171" s="27">
        <f t="shared" si="33"/>
        <v>1.5</v>
      </c>
      <c r="S171" s="28" t="str">
        <f t="shared" si="48"/>
        <v>Mala</v>
      </c>
      <c r="T171" s="28">
        <f t="shared" si="49"/>
        <v>1</v>
      </c>
      <c r="U171" s="32">
        <f t="shared" si="36"/>
        <v>1.5</v>
      </c>
      <c r="V171" s="32" t="str">
        <f t="shared" si="50"/>
        <v>Mala</v>
      </c>
      <c r="W171" s="32">
        <f t="shared" si="51"/>
        <v>1</v>
      </c>
      <c r="X171" s="34">
        <f t="shared" si="39"/>
        <v>1.5</v>
      </c>
      <c r="Y171" s="34" t="str">
        <f t="shared" si="52"/>
        <v>Mala</v>
      </c>
      <c r="Z171" s="34">
        <f t="shared" si="53"/>
        <v>1</v>
      </c>
      <c r="AA171" s="36">
        <f t="shared" si="42"/>
        <v>1.5</v>
      </c>
      <c r="AB171" s="36" t="str">
        <f t="shared" si="43"/>
        <v>Mala</v>
      </c>
      <c r="AC171" s="36">
        <f t="shared" si="44"/>
        <v>1</v>
      </c>
      <c r="AD171" s="37">
        <f t="shared" si="45"/>
        <v>1.5</v>
      </c>
      <c r="AE171" s="38" t="str">
        <f t="shared" si="46"/>
        <v>Mala</v>
      </c>
      <c r="AF171" s="38">
        <f t="shared" si="47"/>
        <v>1</v>
      </c>
    </row>
    <row r="172" spans="1:32" x14ac:dyDescent="0.25">
      <c r="A172" t="s">
        <v>186</v>
      </c>
      <c r="B172" s="1">
        <v>2</v>
      </c>
      <c r="C172" s="1">
        <v>2</v>
      </c>
      <c r="D172" s="1">
        <v>1</v>
      </c>
      <c r="E172" s="1">
        <v>2</v>
      </c>
      <c r="F172" s="1">
        <v>2</v>
      </c>
      <c r="G172" s="1">
        <v>1</v>
      </c>
      <c r="H172" s="1">
        <v>2</v>
      </c>
      <c r="I172" s="1">
        <v>1</v>
      </c>
      <c r="J172" s="1">
        <v>1</v>
      </c>
      <c r="K172" s="1">
        <v>2</v>
      </c>
      <c r="L172" s="1">
        <v>2</v>
      </c>
      <c r="M172" s="1">
        <v>2</v>
      </c>
      <c r="N172" s="1">
        <v>2</v>
      </c>
      <c r="O172" s="1">
        <v>2</v>
      </c>
      <c r="P172" s="1">
        <v>2</v>
      </c>
      <c r="Q172" s="1">
        <v>2</v>
      </c>
      <c r="R172" s="27">
        <f t="shared" si="33"/>
        <v>1.75</v>
      </c>
      <c r="S172" s="28" t="str">
        <f t="shared" si="48"/>
        <v>Mala</v>
      </c>
      <c r="T172" s="28">
        <f t="shared" si="49"/>
        <v>1</v>
      </c>
      <c r="U172" s="32">
        <f t="shared" si="36"/>
        <v>1.5</v>
      </c>
      <c r="V172" s="32" t="str">
        <f t="shared" si="50"/>
        <v>Mala</v>
      </c>
      <c r="W172" s="32">
        <f t="shared" si="51"/>
        <v>1</v>
      </c>
      <c r="X172" s="34">
        <f t="shared" si="39"/>
        <v>1.75</v>
      </c>
      <c r="Y172" s="34" t="str">
        <f t="shared" si="52"/>
        <v>Mala</v>
      </c>
      <c r="Z172" s="34">
        <f t="shared" si="53"/>
        <v>1</v>
      </c>
      <c r="AA172" s="36">
        <f t="shared" si="42"/>
        <v>2</v>
      </c>
      <c r="AB172" s="36" t="str">
        <f t="shared" si="43"/>
        <v>Mala</v>
      </c>
      <c r="AC172" s="36">
        <f t="shared" si="44"/>
        <v>1</v>
      </c>
      <c r="AD172" s="37">
        <f t="shared" si="45"/>
        <v>1.75</v>
      </c>
      <c r="AE172" s="38" t="str">
        <f t="shared" si="46"/>
        <v>Mala</v>
      </c>
      <c r="AF172" s="38">
        <f t="shared" si="47"/>
        <v>1</v>
      </c>
    </row>
    <row r="173" spans="1:32" x14ac:dyDescent="0.25">
      <c r="A173" t="s">
        <v>187</v>
      </c>
      <c r="B173" s="1">
        <v>2</v>
      </c>
      <c r="C173" s="1">
        <v>2</v>
      </c>
      <c r="D173" s="1">
        <v>1</v>
      </c>
      <c r="E173" s="1">
        <v>1</v>
      </c>
      <c r="F173" s="1">
        <v>2</v>
      </c>
      <c r="G173" s="1">
        <v>1</v>
      </c>
      <c r="H173" s="1">
        <v>1</v>
      </c>
      <c r="I173" s="1">
        <v>2</v>
      </c>
      <c r="J173" s="1">
        <v>1</v>
      </c>
      <c r="K173" s="1">
        <v>2</v>
      </c>
      <c r="L173" s="1">
        <v>2</v>
      </c>
      <c r="M173" s="1">
        <v>2</v>
      </c>
      <c r="N173" s="1">
        <v>1</v>
      </c>
      <c r="O173" s="1">
        <v>1</v>
      </c>
      <c r="P173" s="1">
        <v>1</v>
      </c>
      <c r="Q173" s="1">
        <v>1</v>
      </c>
      <c r="R173" s="27">
        <f t="shared" si="33"/>
        <v>1.5</v>
      </c>
      <c r="S173" s="28" t="str">
        <f t="shared" si="48"/>
        <v>Mala</v>
      </c>
      <c r="T173" s="28">
        <f t="shared" si="49"/>
        <v>1</v>
      </c>
      <c r="U173" s="32">
        <f t="shared" si="36"/>
        <v>1.5</v>
      </c>
      <c r="V173" s="32" t="str">
        <f t="shared" si="50"/>
        <v>Mala</v>
      </c>
      <c r="W173" s="32">
        <f t="shared" si="51"/>
        <v>1</v>
      </c>
      <c r="X173" s="34">
        <f t="shared" si="39"/>
        <v>1.75</v>
      </c>
      <c r="Y173" s="34" t="str">
        <f t="shared" si="52"/>
        <v>Mala</v>
      </c>
      <c r="Z173" s="34">
        <f t="shared" si="53"/>
        <v>1</v>
      </c>
      <c r="AA173" s="36">
        <f t="shared" si="42"/>
        <v>1</v>
      </c>
      <c r="AB173" s="36" t="str">
        <f t="shared" si="43"/>
        <v>Mala</v>
      </c>
      <c r="AC173" s="36">
        <f t="shared" si="44"/>
        <v>1</v>
      </c>
      <c r="AD173" s="37">
        <f t="shared" si="45"/>
        <v>1.4375</v>
      </c>
      <c r="AE173" s="38" t="str">
        <f t="shared" si="46"/>
        <v>Mala</v>
      </c>
      <c r="AF173" s="38">
        <f t="shared" si="47"/>
        <v>1</v>
      </c>
    </row>
    <row r="174" spans="1:32" x14ac:dyDescent="0.25">
      <c r="A174" t="s">
        <v>188</v>
      </c>
      <c r="B174" s="1">
        <v>1</v>
      </c>
      <c r="C174" s="1">
        <v>2</v>
      </c>
      <c r="D174" s="1">
        <v>2</v>
      </c>
      <c r="E174" s="1">
        <v>1</v>
      </c>
      <c r="F174" s="1">
        <v>2</v>
      </c>
      <c r="G174" s="1">
        <v>1</v>
      </c>
      <c r="H174" s="1">
        <v>2</v>
      </c>
      <c r="I174" s="1">
        <v>2</v>
      </c>
      <c r="J174" s="1">
        <v>1</v>
      </c>
      <c r="K174" s="1">
        <v>1</v>
      </c>
      <c r="L174" s="1">
        <v>2</v>
      </c>
      <c r="M174" s="1">
        <v>2</v>
      </c>
      <c r="N174" s="1">
        <v>2</v>
      </c>
      <c r="O174" s="1">
        <v>2</v>
      </c>
      <c r="P174" s="1">
        <v>2</v>
      </c>
      <c r="Q174" s="1">
        <v>2</v>
      </c>
      <c r="R174" s="27">
        <f t="shared" si="33"/>
        <v>1.5</v>
      </c>
      <c r="S174" s="28" t="str">
        <f t="shared" si="48"/>
        <v>Mala</v>
      </c>
      <c r="T174" s="28">
        <f t="shared" si="49"/>
        <v>1</v>
      </c>
      <c r="U174" s="32">
        <f t="shared" si="36"/>
        <v>1.75</v>
      </c>
      <c r="V174" s="32" t="str">
        <f t="shared" si="50"/>
        <v>Mala</v>
      </c>
      <c r="W174" s="32">
        <f t="shared" si="51"/>
        <v>1</v>
      </c>
      <c r="X174" s="34">
        <f t="shared" si="39"/>
        <v>1.5</v>
      </c>
      <c r="Y174" s="34" t="str">
        <f t="shared" si="52"/>
        <v>Mala</v>
      </c>
      <c r="Z174" s="34">
        <f t="shared" si="53"/>
        <v>1</v>
      </c>
      <c r="AA174" s="36">
        <f t="shared" si="42"/>
        <v>2</v>
      </c>
      <c r="AB174" s="36" t="str">
        <f t="shared" si="43"/>
        <v>Mala</v>
      </c>
      <c r="AC174" s="36">
        <f t="shared" si="44"/>
        <v>1</v>
      </c>
      <c r="AD174" s="37">
        <f t="shared" si="45"/>
        <v>1.6875</v>
      </c>
      <c r="AE174" s="38" t="str">
        <f t="shared" si="46"/>
        <v>Mala</v>
      </c>
      <c r="AF174" s="38">
        <f t="shared" si="47"/>
        <v>1</v>
      </c>
    </row>
    <row r="175" spans="1:32" x14ac:dyDescent="0.25">
      <c r="A175" t="s">
        <v>189</v>
      </c>
      <c r="B175" s="1">
        <v>2</v>
      </c>
      <c r="C175" s="1">
        <v>1</v>
      </c>
      <c r="D175" s="1">
        <v>1</v>
      </c>
      <c r="E175" s="1">
        <v>1</v>
      </c>
      <c r="F175" s="1">
        <v>2</v>
      </c>
      <c r="G175" s="1">
        <v>2</v>
      </c>
      <c r="H175" s="1">
        <v>2</v>
      </c>
      <c r="I175" s="1">
        <v>1</v>
      </c>
      <c r="J175" s="1">
        <v>2</v>
      </c>
      <c r="K175" s="1">
        <v>1</v>
      </c>
      <c r="L175" s="1">
        <v>2</v>
      </c>
      <c r="M175" s="1">
        <v>1</v>
      </c>
      <c r="N175" s="1">
        <v>1</v>
      </c>
      <c r="O175" s="1">
        <v>2</v>
      </c>
      <c r="P175" s="1">
        <v>2</v>
      </c>
      <c r="Q175" s="1">
        <v>1</v>
      </c>
      <c r="R175" s="27">
        <f t="shared" si="33"/>
        <v>1.25</v>
      </c>
      <c r="S175" s="28" t="str">
        <f t="shared" si="48"/>
        <v>Mala</v>
      </c>
      <c r="T175" s="28">
        <f t="shared" si="49"/>
        <v>1</v>
      </c>
      <c r="U175" s="32">
        <f t="shared" si="36"/>
        <v>1.75</v>
      </c>
      <c r="V175" s="32" t="str">
        <f t="shared" si="50"/>
        <v>Mala</v>
      </c>
      <c r="W175" s="32">
        <f t="shared" si="51"/>
        <v>1</v>
      </c>
      <c r="X175" s="34">
        <f t="shared" si="39"/>
        <v>1.5</v>
      </c>
      <c r="Y175" s="34" t="str">
        <f t="shared" si="52"/>
        <v>Mala</v>
      </c>
      <c r="Z175" s="34">
        <f t="shared" si="53"/>
        <v>1</v>
      </c>
      <c r="AA175" s="36">
        <f t="shared" si="42"/>
        <v>1.5</v>
      </c>
      <c r="AB175" s="36" t="str">
        <f t="shared" si="43"/>
        <v>Mala</v>
      </c>
      <c r="AC175" s="36">
        <f t="shared" si="44"/>
        <v>1</v>
      </c>
      <c r="AD175" s="37">
        <f t="shared" si="45"/>
        <v>1.5</v>
      </c>
      <c r="AE175" s="38" t="str">
        <f t="shared" si="46"/>
        <v>Mala</v>
      </c>
      <c r="AF175" s="38">
        <f t="shared" si="47"/>
        <v>1</v>
      </c>
    </row>
    <row r="176" spans="1:32" x14ac:dyDescent="0.25">
      <c r="A176" t="s">
        <v>190</v>
      </c>
      <c r="B176" s="1">
        <v>3</v>
      </c>
      <c r="C176" s="1">
        <v>2</v>
      </c>
      <c r="D176" s="1">
        <v>2</v>
      </c>
      <c r="E176" s="1">
        <v>1</v>
      </c>
      <c r="F176" s="1">
        <v>2</v>
      </c>
      <c r="G176" s="1">
        <v>3</v>
      </c>
      <c r="H176" s="1">
        <v>2</v>
      </c>
      <c r="I176" s="1">
        <v>2</v>
      </c>
      <c r="J176" s="1">
        <v>2</v>
      </c>
      <c r="K176" s="1">
        <v>3</v>
      </c>
      <c r="L176" s="1">
        <v>2</v>
      </c>
      <c r="M176" s="1">
        <v>2</v>
      </c>
      <c r="N176" s="1">
        <v>1</v>
      </c>
      <c r="O176" s="1">
        <v>2</v>
      </c>
      <c r="P176" s="1">
        <v>2</v>
      </c>
      <c r="Q176" s="1">
        <v>2</v>
      </c>
      <c r="R176" s="27">
        <f t="shared" si="33"/>
        <v>2</v>
      </c>
      <c r="S176" s="28" t="str">
        <f t="shared" si="48"/>
        <v>Mala</v>
      </c>
      <c r="T176" s="28">
        <f t="shared" si="49"/>
        <v>1</v>
      </c>
      <c r="U176" s="32">
        <f t="shared" si="36"/>
        <v>2.25</v>
      </c>
      <c r="V176" s="32" t="str">
        <f t="shared" si="50"/>
        <v>Mala</v>
      </c>
      <c r="W176" s="32">
        <f t="shared" si="51"/>
        <v>1</v>
      </c>
      <c r="X176" s="34">
        <f t="shared" si="39"/>
        <v>2.25</v>
      </c>
      <c r="Y176" s="34" t="str">
        <f t="shared" si="52"/>
        <v>Mala</v>
      </c>
      <c r="Z176" s="34">
        <f t="shared" si="53"/>
        <v>1</v>
      </c>
      <c r="AA176" s="36">
        <f t="shared" si="42"/>
        <v>1.75</v>
      </c>
      <c r="AB176" s="36" t="str">
        <f t="shared" si="43"/>
        <v>Mala</v>
      </c>
      <c r="AC176" s="36">
        <f t="shared" si="44"/>
        <v>1</v>
      </c>
      <c r="AD176" s="37">
        <f t="shared" si="45"/>
        <v>2.0625</v>
      </c>
      <c r="AE176" s="38" t="str">
        <f t="shared" si="46"/>
        <v>Mala</v>
      </c>
      <c r="AF176" s="38">
        <f t="shared" si="47"/>
        <v>1</v>
      </c>
    </row>
    <row r="177" spans="1:32" x14ac:dyDescent="0.25">
      <c r="A177" t="s">
        <v>191</v>
      </c>
      <c r="B177" s="1">
        <v>1</v>
      </c>
      <c r="C177" s="1">
        <v>2</v>
      </c>
      <c r="D177" s="1">
        <v>1</v>
      </c>
      <c r="E177" s="1">
        <v>2</v>
      </c>
      <c r="F177" s="1">
        <v>1</v>
      </c>
      <c r="G177" s="1">
        <v>1</v>
      </c>
      <c r="H177" s="1">
        <v>2</v>
      </c>
      <c r="I177" s="1">
        <v>2</v>
      </c>
      <c r="J177" s="1">
        <v>2</v>
      </c>
      <c r="K177" s="1">
        <v>1</v>
      </c>
      <c r="L177" s="1">
        <v>2</v>
      </c>
      <c r="M177" s="1">
        <v>1</v>
      </c>
      <c r="N177" s="1">
        <v>1</v>
      </c>
      <c r="O177" s="1">
        <v>1</v>
      </c>
      <c r="P177" s="1">
        <v>1</v>
      </c>
      <c r="Q177" s="1">
        <v>2</v>
      </c>
      <c r="R177" s="27">
        <f t="shared" si="33"/>
        <v>1.5</v>
      </c>
      <c r="S177" s="28" t="str">
        <f t="shared" si="48"/>
        <v>Mala</v>
      </c>
      <c r="T177" s="28">
        <f t="shared" si="49"/>
        <v>1</v>
      </c>
      <c r="U177" s="32">
        <f t="shared" si="36"/>
        <v>1.5</v>
      </c>
      <c r="V177" s="32" t="str">
        <f t="shared" si="50"/>
        <v>Mala</v>
      </c>
      <c r="W177" s="32">
        <f t="shared" si="51"/>
        <v>1</v>
      </c>
      <c r="X177" s="34">
        <f t="shared" si="39"/>
        <v>1.5</v>
      </c>
      <c r="Y177" s="34" t="str">
        <f t="shared" si="52"/>
        <v>Mala</v>
      </c>
      <c r="Z177" s="34">
        <f t="shared" si="53"/>
        <v>1</v>
      </c>
      <c r="AA177" s="36">
        <f t="shared" si="42"/>
        <v>1.25</v>
      </c>
      <c r="AB177" s="36" t="str">
        <f t="shared" si="43"/>
        <v>Mala</v>
      </c>
      <c r="AC177" s="36">
        <f t="shared" si="44"/>
        <v>1</v>
      </c>
      <c r="AD177" s="37">
        <f t="shared" si="45"/>
        <v>1.4375</v>
      </c>
      <c r="AE177" s="38" t="str">
        <f t="shared" si="46"/>
        <v>Mala</v>
      </c>
      <c r="AF177" s="38">
        <f t="shared" si="47"/>
        <v>1</v>
      </c>
    </row>
    <row r="178" spans="1:32" x14ac:dyDescent="0.25">
      <c r="A178" t="s">
        <v>192</v>
      </c>
      <c r="B178" s="1">
        <v>1</v>
      </c>
      <c r="C178" s="1">
        <v>2</v>
      </c>
      <c r="D178" s="1">
        <v>1</v>
      </c>
      <c r="E178" s="1">
        <v>2</v>
      </c>
      <c r="F178" s="1">
        <v>2</v>
      </c>
      <c r="G178" s="1">
        <v>1</v>
      </c>
      <c r="H178" s="1">
        <v>1</v>
      </c>
      <c r="I178" s="1">
        <v>2</v>
      </c>
      <c r="J178" s="1">
        <v>2</v>
      </c>
      <c r="K178" s="1">
        <v>2</v>
      </c>
      <c r="L178" s="1">
        <v>2</v>
      </c>
      <c r="M178" s="1">
        <v>1</v>
      </c>
      <c r="N178" s="1">
        <v>2</v>
      </c>
      <c r="O178" s="1">
        <v>2</v>
      </c>
      <c r="P178" s="1">
        <v>2</v>
      </c>
      <c r="Q178" s="1">
        <v>1</v>
      </c>
      <c r="R178" s="27">
        <f t="shared" si="33"/>
        <v>1.5</v>
      </c>
      <c r="S178" s="28" t="str">
        <f t="shared" si="48"/>
        <v>Mala</v>
      </c>
      <c r="T178" s="28">
        <f t="shared" si="49"/>
        <v>1</v>
      </c>
      <c r="U178" s="32">
        <f t="shared" si="36"/>
        <v>1.5</v>
      </c>
      <c r="V178" s="32" t="str">
        <f t="shared" si="50"/>
        <v>Mala</v>
      </c>
      <c r="W178" s="32">
        <f t="shared" si="51"/>
        <v>1</v>
      </c>
      <c r="X178" s="34">
        <f t="shared" si="39"/>
        <v>1.75</v>
      </c>
      <c r="Y178" s="34" t="str">
        <f t="shared" si="52"/>
        <v>Mala</v>
      </c>
      <c r="Z178" s="34">
        <f t="shared" si="53"/>
        <v>1</v>
      </c>
      <c r="AA178" s="36">
        <f t="shared" si="42"/>
        <v>1.75</v>
      </c>
      <c r="AB178" s="36" t="str">
        <f t="shared" si="43"/>
        <v>Mala</v>
      </c>
      <c r="AC178" s="36">
        <f t="shared" si="44"/>
        <v>1</v>
      </c>
      <c r="AD178" s="37">
        <f t="shared" si="45"/>
        <v>1.625</v>
      </c>
      <c r="AE178" s="38" t="str">
        <f t="shared" si="46"/>
        <v>Mala</v>
      </c>
      <c r="AF178" s="38">
        <f t="shared" si="47"/>
        <v>1</v>
      </c>
    </row>
    <row r="179" spans="1:32" x14ac:dyDescent="0.25">
      <c r="A179" t="s">
        <v>193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1</v>
      </c>
      <c r="Q179" s="1">
        <v>1</v>
      </c>
      <c r="R179" s="27">
        <f t="shared" si="33"/>
        <v>1</v>
      </c>
      <c r="S179" s="28" t="str">
        <f t="shared" si="48"/>
        <v>Mala</v>
      </c>
      <c r="T179" s="28">
        <f t="shared" si="49"/>
        <v>1</v>
      </c>
      <c r="U179" s="32">
        <f t="shared" si="36"/>
        <v>1</v>
      </c>
      <c r="V179" s="32" t="str">
        <f t="shared" si="50"/>
        <v>Mala</v>
      </c>
      <c r="W179" s="32">
        <f t="shared" si="51"/>
        <v>1</v>
      </c>
      <c r="X179" s="34">
        <f t="shared" si="39"/>
        <v>1</v>
      </c>
      <c r="Y179" s="34" t="str">
        <f t="shared" si="52"/>
        <v>Mala</v>
      </c>
      <c r="Z179" s="34">
        <f t="shared" si="53"/>
        <v>1</v>
      </c>
      <c r="AA179" s="36">
        <f t="shared" si="42"/>
        <v>1</v>
      </c>
      <c r="AB179" s="36" t="str">
        <f t="shared" si="43"/>
        <v>Mala</v>
      </c>
      <c r="AC179" s="36">
        <f t="shared" si="44"/>
        <v>1</v>
      </c>
      <c r="AD179" s="37">
        <f t="shared" si="45"/>
        <v>1</v>
      </c>
      <c r="AE179" s="38" t="str">
        <f t="shared" si="46"/>
        <v>Mala</v>
      </c>
      <c r="AF179" s="38">
        <f t="shared" si="47"/>
        <v>1</v>
      </c>
    </row>
    <row r="180" spans="1:32" x14ac:dyDescent="0.25">
      <c r="A180" t="s">
        <v>194</v>
      </c>
      <c r="B180" s="1">
        <v>1</v>
      </c>
      <c r="C180" s="1">
        <v>2</v>
      </c>
      <c r="D180" s="1">
        <v>2</v>
      </c>
      <c r="E180" s="1">
        <v>2</v>
      </c>
      <c r="F180" s="1">
        <v>2</v>
      </c>
      <c r="G180" s="1">
        <v>2</v>
      </c>
      <c r="H180" s="1">
        <v>2</v>
      </c>
      <c r="I180" s="1">
        <v>2</v>
      </c>
      <c r="J180" s="1">
        <v>1</v>
      </c>
      <c r="K180" s="1">
        <v>2</v>
      </c>
      <c r="L180" s="1">
        <v>1</v>
      </c>
      <c r="M180" s="1">
        <v>2</v>
      </c>
      <c r="N180" s="1">
        <v>2</v>
      </c>
      <c r="O180" s="1">
        <v>2</v>
      </c>
      <c r="P180" s="1">
        <v>2</v>
      </c>
      <c r="Q180" s="1">
        <v>2</v>
      </c>
      <c r="R180" s="27">
        <f t="shared" si="33"/>
        <v>1.75</v>
      </c>
      <c r="S180" s="28" t="str">
        <f t="shared" si="48"/>
        <v>Mala</v>
      </c>
      <c r="T180" s="28">
        <f t="shared" si="49"/>
        <v>1</v>
      </c>
      <c r="U180" s="32">
        <f t="shared" si="36"/>
        <v>2</v>
      </c>
      <c r="V180" s="32" t="str">
        <f t="shared" si="50"/>
        <v>Mala</v>
      </c>
      <c r="W180" s="32">
        <f t="shared" si="51"/>
        <v>1</v>
      </c>
      <c r="X180" s="34">
        <f t="shared" si="39"/>
        <v>1.5</v>
      </c>
      <c r="Y180" s="34" t="str">
        <f t="shared" si="52"/>
        <v>Mala</v>
      </c>
      <c r="Z180" s="34">
        <f t="shared" si="53"/>
        <v>1</v>
      </c>
      <c r="AA180" s="36">
        <f t="shared" si="42"/>
        <v>2</v>
      </c>
      <c r="AB180" s="36" t="str">
        <f t="shared" si="43"/>
        <v>Mala</v>
      </c>
      <c r="AC180" s="36">
        <f t="shared" si="44"/>
        <v>1</v>
      </c>
      <c r="AD180" s="37">
        <f t="shared" si="45"/>
        <v>1.8125</v>
      </c>
      <c r="AE180" s="38" t="str">
        <f t="shared" si="46"/>
        <v>Mala</v>
      </c>
      <c r="AF180" s="38">
        <f t="shared" si="47"/>
        <v>1</v>
      </c>
    </row>
    <row r="181" spans="1:32" x14ac:dyDescent="0.25">
      <c r="A181" t="s">
        <v>195</v>
      </c>
      <c r="B181" s="1">
        <v>1</v>
      </c>
      <c r="C181" s="1">
        <v>2</v>
      </c>
      <c r="D181" s="1">
        <v>2</v>
      </c>
      <c r="E181" s="1">
        <v>1</v>
      </c>
      <c r="F181" s="1">
        <v>1</v>
      </c>
      <c r="G181" s="1">
        <v>2</v>
      </c>
      <c r="H181" s="1">
        <v>2</v>
      </c>
      <c r="I181" s="1">
        <v>2</v>
      </c>
      <c r="J181" s="1">
        <v>2</v>
      </c>
      <c r="K181" s="1">
        <v>2</v>
      </c>
      <c r="L181" s="1">
        <v>2</v>
      </c>
      <c r="M181" s="1">
        <v>1</v>
      </c>
      <c r="N181" s="1">
        <v>1</v>
      </c>
      <c r="O181" s="1">
        <v>2</v>
      </c>
      <c r="P181" s="1">
        <v>2</v>
      </c>
      <c r="Q181" s="1">
        <v>2</v>
      </c>
      <c r="R181" s="27">
        <f t="shared" si="33"/>
        <v>1.5</v>
      </c>
      <c r="S181" s="28" t="str">
        <f t="shared" si="48"/>
        <v>Mala</v>
      </c>
      <c r="T181" s="28">
        <f t="shared" si="49"/>
        <v>1</v>
      </c>
      <c r="U181" s="32">
        <f t="shared" si="36"/>
        <v>1.75</v>
      </c>
      <c r="V181" s="32" t="str">
        <f t="shared" si="50"/>
        <v>Mala</v>
      </c>
      <c r="W181" s="32">
        <f t="shared" si="51"/>
        <v>1</v>
      </c>
      <c r="X181" s="34">
        <f t="shared" si="39"/>
        <v>1.75</v>
      </c>
      <c r="Y181" s="34" t="str">
        <f t="shared" si="52"/>
        <v>Mala</v>
      </c>
      <c r="Z181" s="34">
        <f t="shared" si="53"/>
        <v>1</v>
      </c>
      <c r="AA181" s="36">
        <f t="shared" si="42"/>
        <v>1.75</v>
      </c>
      <c r="AB181" s="36" t="str">
        <f t="shared" si="43"/>
        <v>Mala</v>
      </c>
      <c r="AC181" s="36">
        <f t="shared" si="44"/>
        <v>1</v>
      </c>
      <c r="AD181" s="37">
        <f t="shared" si="45"/>
        <v>1.6875</v>
      </c>
      <c r="AE181" s="38" t="str">
        <f t="shared" si="46"/>
        <v>Mala</v>
      </c>
      <c r="AF181" s="38">
        <f t="shared" si="47"/>
        <v>1</v>
      </c>
    </row>
    <row r="182" spans="1:32" x14ac:dyDescent="0.25">
      <c r="A182" t="s">
        <v>196</v>
      </c>
      <c r="B182" s="1">
        <v>2</v>
      </c>
      <c r="C182" s="1">
        <v>1</v>
      </c>
      <c r="D182" s="1">
        <v>1</v>
      </c>
      <c r="E182" s="1">
        <v>1</v>
      </c>
      <c r="F182" s="1">
        <v>2</v>
      </c>
      <c r="G182" s="1">
        <v>1</v>
      </c>
      <c r="H182" s="1">
        <v>1</v>
      </c>
      <c r="I182" s="1">
        <v>1</v>
      </c>
      <c r="J182" s="1">
        <v>2</v>
      </c>
      <c r="K182" s="1">
        <v>1</v>
      </c>
      <c r="L182" s="1">
        <v>1</v>
      </c>
      <c r="M182" s="1">
        <v>1</v>
      </c>
      <c r="N182" s="1">
        <v>2</v>
      </c>
      <c r="O182" s="1">
        <v>2</v>
      </c>
      <c r="P182" s="1">
        <v>1</v>
      </c>
      <c r="Q182" s="1">
        <v>2</v>
      </c>
      <c r="R182" s="27">
        <f t="shared" si="33"/>
        <v>1.25</v>
      </c>
      <c r="S182" s="28" t="str">
        <f t="shared" si="48"/>
        <v>Mala</v>
      </c>
      <c r="T182" s="28">
        <f t="shared" si="49"/>
        <v>1</v>
      </c>
      <c r="U182" s="32">
        <f t="shared" si="36"/>
        <v>1.25</v>
      </c>
      <c r="V182" s="32" t="str">
        <f t="shared" si="50"/>
        <v>Mala</v>
      </c>
      <c r="W182" s="32">
        <f t="shared" si="51"/>
        <v>1</v>
      </c>
      <c r="X182" s="34">
        <f t="shared" si="39"/>
        <v>1.25</v>
      </c>
      <c r="Y182" s="34" t="str">
        <f t="shared" si="52"/>
        <v>Mala</v>
      </c>
      <c r="Z182" s="34">
        <f t="shared" si="53"/>
        <v>1</v>
      </c>
      <c r="AA182" s="36">
        <f t="shared" si="42"/>
        <v>1.75</v>
      </c>
      <c r="AB182" s="36" t="str">
        <f t="shared" si="43"/>
        <v>Mala</v>
      </c>
      <c r="AC182" s="36">
        <f t="shared" si="44"/>
        <v>1</v>
      </c>
      <c r="AD182" s="37">
        <f t="shared" si="45"/>
        <v>1.375</v>
      </c>
      <c r="AE182" s="38" t="str">
        <f t="shared" si="46"/>
        <v>Mala</v>
      </c>
      <c r="AF182" s="38">
        <f t="shared" si="47"/>
        <v>1</v>
      </c>
    </row>
    <row r="183" spans="1:32" x14ac:dyDescent="0.25">
      <c r="A183" t="s">
        <v>197</v>
      </c>
      <c r="B183" s="1">
        <v>1</v>
      </c>
      <c r="C183" s="1">
        <v>2</v>
      </c>
      <c r="D183" s="1">
        <v>2</v>
      </c>
      <c r="E183" s="1">
        <v>2</v>
      </c>
      <c r="F183" s="1">
        <v>3</v>
      </c>
      <c r="G183" s="1">
        <v>2</v>
      </c>
      <c r="H183" s="1">
        <v>1</v>
      </c>
      <c r="I183" s="1">
        <v>2</v>
      </c>
      <c r="J183" s="1">
        <v>2</v>
      </c>
      <c r="K183" s="1">
        <v>2</v>
      </c>
      <c r="L183" s="1">
        <v>2</v>
      </c>
      <c r="M183" s="1">
        <v>2</v>
      </c>
      <c r="N183" s="1">
        <v>2</v>
      </c>
      <c r="O183" s="1">
        <v>2</v>
      </c>
      <c r="P183" s="1">
        <v>1</v>
      </c>
      <c r="Q183" s="1">
        <v>2</v>
      </c>
      <c r="R183" s="27">
        <f t="shared" si="33"/>
        <v>1.75</v>
      </c>
      <c r="S183" s="28" t="str">
        <f t="shared" si="48"/>
        <v>Mala</v>
      </c>
      <c r="T183" s="28">
        <f t="shared" si="49"/>
        <v>1</v>
      </c>
      <c r="U183" s="32">
        <f t="shared" si="36"/>
        <v>2</v>
      </c>
      <c r="V183" s="32" t="str">
        <f t="shared" si="50"/>
        <v>Mala</v>
      </c>
      <c r="W183" s="32">
        <f t="shared" si="51"/>
        <v>1</v>
      </c>
      <c r="X183" s="34">
        <f t="shared" si="39"/>
        <v>2</v>
      </c>
      <c r="Y183" s="34" t="str">
        <f t="shared" si="52"/>
        <v>Mala</v>
      </c>
      <c r="Z183" s="34">
        <f t="shared" si="53"/>
        <v>1</v>
      </c>
      <c r="AA183" s="36">
        <f t="shared" si="42"/>
        <v>1.75</v>
      </c>
      <c r="AB183" s="36" t="str">
        <f t="shared" si="43"/>
        <v>Mala</v>
      </c>
      <c r="AC183" s="36">
        <f t="shared" si="44"/>
        <v>1</v>
      </c>
      <c r="AD183" s="37">
        <f t="shared" si="45"/>
        <v>1.875</v>
      </c>
      <c r="AE183" s="38" t="str">
        <f t="shared" si="46"/>
        <v>Mala</v>
      </c>
      <c r="AF183" s="38">
        <f t="shared" si="47"/>
        <v>1</v>
      </c>
    </row>
    <row r="184" spans="1:32" x14ac:dyDescent="0.25">
      <c r="A184" t="s">
        <v>198</v>
      </c>
      <c r="B184" s="1">
        <v>2</v>
      </c>
      <c r="C184" s="1">
        <v>1</v>
      </c>
      <c r="D184" s="1">
        <v>1</v>
      </c>
      <c r="E184" s="1">
        <v>2</v>
      </c>
      <c r="F184" s="1">
        <v>2</v>
      </c>
      <c r="G184" s="1">
        <v>2</v>
      </c>
      <c r="H184" s="1">
        <v>2</v>
      </c>
      <c r="I184" s="1">
        <v>2</v>
      </c>
      <c r="J184" s="1">
        <v>2</v>
      </c>
      <c r="K184" s="1">
        <v>2</v>
      </c>
      <c r="L184" s="1">
        <v>2</v>
      </c>
      <c r="M184" s="1">
        <v>1</v>
      </c>
      <c r="N184" s="1">
        <v>2</v>
      </c>
      <c r="O184" s="1">
        <v>2</v>
      </c>
      <c r="P184" s="1">
        <v>2</v>
      </c>
      <c r="Q184" s="1">
        <v>2</v>
      </c>
      <c r="R184" s="27">
        <f t="shared" si="33"/>
        <v>1.5</v>
      </c>
      <c r="S184" s="28" t="str">
        <f t="shared" si="48"/>
        <v>Mala</v>
      </c>
      <c r="T184" s="28">
        <f t="shared" si="49"/>
        <v>1</v>
      </c>
      <c r="U184" s="32">
        <f t="shared" si="36"/>
        <v>2</v>
      </c>
      <c r="V184" s="32" t="str">
        <f t="shared" si="50"/>
        <v>Mala</v>
      </c>
      <c r="W184" s="32">
        <f t="shared" si="51"/>
        <v>1</v>
      </c>
      <c r="X184" s="34">
        <f t="shared" si="39"/>
        <v>1.75</v>
      </c>
      <c r="Y184" s="34" t="str">
        <f t="shared" si="52"/>
        <v>Mala</v>
      </c>
      <c r="Z184" s="34">
        <f t="shared" si="53"/>
        <v>1</v>
      </c>
      <c r="AA184" s="36">
        <f t="shared" si="42"/>
        <v>2</v>
      </c>
      <c r="AB184" s="36" t="str">
        <f t="shared" si="43"/>
        <v>Mala</v>
      </c>
      <c r="AC184" s="36">
        <f t="shared" si="44"/>
        <v>1</v>
      </c>
      <c r="AD184" s="37">
        <f t="shared" si="45"/>
        <v>1.8125</v>
      </c>
      <c r="AE184" s="38" t="str">
        <f t="shared" si="46"/>
        <v>Mala</v>
      </c>
      <c r="AF184" s="38">
        <f t="shared" si="47"/>
        <v>1</v>
      </c>
    </row>
    <row r="185" spans="1:32" x14ac:dyDescent="0.25">
      <c r="B185" s="4" t="str">
        <f>B1</f>
        <v>PRG.1</v>
      </c>
      <c r="C185" s="4" t="str">
        <f t="shared" ref="C185:Q185" si="54">C1</f>
        <v>PRG.2</v>
      </c>
      <c r="D185" s="4" t="str">
        <f t="shared" si="54"/>
        <v>PRG.3</v>
      </c>
      <c r="E185" s="4" t="str">
        <f t="shared" si="54"/>
        <v>PRG.4</v>
      </c>
      <c r="F185" s="2" t="str">
        <f t="shared" si="54"/>
        <v>PRG.5</v>
      </c>
      <c r="G185" s="2" t="str">
        <f t="shared" si="54"/>
        <v>PRG.6</v>
      </c>
      <c r="H185" s="2" t="str">
        <f t="shared" si="54"/>
        <v>PRG.7</v>
      </c>
      <c r="I185" s="2" t="str">
        <f t="shared" si="54"/>
        <v>PRG.8</v>
      </c>
      <c r="J185" s="3" t="str">
        <f t="shared" si="54"/>
        <v>PRG.9</v>
      </c>
      <c r="K185" s="3" t="str">
        <f t="shared" si="54"/>
        <v>PRG.10</v>
      </c>
      <c r="L185" s="3" t="str">
        <f t="shared" si="54"/>
        <v>PRG.11</v>
      </c>
      <c r="M185" s="3" t="str">
        <f t="shared" si="54"/>
        <v>PRG.12</v>
      </c>
      <c r="N185" s="10" t="str">
        <f t="shared" si="54"/>
        <v>PRG.13</v>
      </c>
      <c r="O185" s="10" t="str">
        <f t="shared" si="54"/>
        <v>PRG.14</v>
      </c>
      <c r="P185" s="10" t="str">
        <f t="shared" si="54"/>
        <v>PRG.15</v>
      </c>
      <c r="Q185" s="10" t="str">
        <f t="shared" si="54"/>
        <v>PRG.16</v>
      </c>
    </row>
    <row r="186" spans="1:32" x14ac:dyDescent="0.25">
      <c r="A186" t="s">
        <v>209</v>
      </c>
      <c r="B186" s="5">
        <f>AVERAGE(B2:B184)</f>
        <v>2.7814207650273226</v>
      </c>
      <c r="C186" s="5">
        <f t="shared" ref="C186:Q186" si="55">AVERAGE(C2:C184)</f>
        <v>2.6939890710382515</v>
      </c>
      <c r="D186" s="5">
        <f t="shared" si="55"/>
        <v>2.7486338797814209</v>
      </c>
      <c r="E186" s="5">
        <f t="shared" si="55"/>
        <v>2.819672131147541</v>
      </c>
      <c r="F186" s="5">
        <f t="shared" si="55"/>
        <v>2.8306010928961749</v>
      </c>
      <c r="G186" s="5">
        <f t="shared" si="55"/>
        <v>2.819672131147541</v>
      </c>
      <c r="H186" s="5">
        <f t="shared" si="55"/>
        <v>2.7814207650273226</v>
      </c>
      <c r="I186" s="5">
        <f t="shared" si="55"/>
        <v>2.8306010928961749</v>
      </c>
      <c r="J186" s="5">
        <f t="shared" si="55"/>
        <v>2.7322404371584699</v>
      </c>
      <c r="K186" s="5">
        <f t="shared" si="55"/>
        <v>2.7759562841530054</v>
      </c>
      <c r="L186" s="5">
        <f t="shared" si="55"/>
        <v>2.819672131147541</v>
      </c>
      <c r="M186" s="5">
        <f t="shared" si="55"/>
        <v>2.7267759562841531</v>
      </c>
      <c r="N186" s="5">
        <f t="shared" si="55"/>
        <v>2.8251366120218577</v>
      </c>
      <c r="O186" s="5">
        <f t="shared" si="55"/>
        <v>2.7759562841530054</v>
      </c>
      <c r="P186" s="5">
        <f t="shared" si="55"/>
        <v>2.8306010928961749</v>
      </c>
      <c r="Q186" s="5">
        <f t="shared" si="55"/>
        <v>2.7759562841530054</v>
      </c>
    </row>
    <row r="187" spans="1:32" x14ac:dyDescent="0.25">
      <c r="A187" t="s">
        <v>204</v>
      </c>
      <c r="B187" s="1">
        <f>COUNTIF(B2:B184,1)</f>
        <v>24</v>
      </c>
      <c r="C187" s="1">
        <f t="shared" ref="C187:Q187" si="56">COUNTIF(C2:C184,1)</f>
        <v>27</v>
      </c>
      <c r="D187" s="1">
        <f t="shared" si="56"/>
        <v>30</v>
      </c>
      <c r="E187" s="1">
        <f t="shared" si="56"/>
        <v>26</v>
      </c>
      <c r="F187" s="1">
        <f t="shared" si="56"/>
        <v>23</v>
      </c>
      <c r="G187" s="1">
        <f t="shared" si="56"/>
        <v>28</v>
      </c>
      <c r="H187" s="1">
        <f t="shared" si="56"/>
        <v>20</v>
      </c>
      <c r="I187" s="1">
        <f t="shared" si="56"/>
        <v>25</v>
      </c>
      <c r="J187" s="1">
        <f t="shared" si="56"/>
        <v>26</v>
      </c>
      <c r="K187" s="1">
        <f t="shared" si="56"/>
        <v>25</v>
      </c>
      <c r="L187" s="1">
        <f t="shared" si="56"/>
        <v>21</v>
      </c>
      <c r="M187" s="1">
        <f t="shared" si="56"/>
        <v>32</v>
      </c>
      <c r="N187" s="1">
        <f t="shared" si="56"/>
        <v>21</v>
      </c>
      <c r="O187" s="1">
        <f t="shared" si="56"/>
        <v>22</v>
      </c>
      <c r="P187" s="1">
        <f t="shared" si="56"/>
        <v>28</v>
      </c>
      <c r="Q187" s="1">
        <f t="shared" si="56"/>
        <v>24</v>
      </c>
    </row>
    <row r="188" spans="1:32" x14ac:dyDescent="0.25">
      <c r="A188" t="s">
        <v>205</v>
      </c>
      <c r="B188" s="1">
        <f>COUNTIF(B2:B184,2)</f>
        <v>55</v>
      </c>
      <c r="C188" s="1">
        <f t="shared" ref="C188:Q188" si="57">COUNTIF(C2:C184,2)</f>
        <v>56</v>
      </c>
      <c r="D188" s="1">
        <f t="shared" si="57"/>
        <v>52</v>
      </c>
      <c r="E188" s="1">
        <f t="shared" si="57"/>
        <v>46</v>
      </c>
      <c r="F188" s="1">
        <f t="shared" si="57"/>
        <v>53</v>
      </c>
      <c r="G188" s="1">
        <f t="shared" si="57"/>
        <v>48</v>
      </c>
      <c r="H188" s="1">
        <f t="shared" si="57"/>
        <v>61</v>
      </c>
      <c r="I188" s="1">
        <f t="shared" si="57"/>
        <v>49</v>
      </c>
      <c r="J188" s="1">
        <f t="shared" si="57"/>
        <v>58</v>
      </c>
      <c r="K188" s="1">
        <f t="shared" si="57"/>
        <v>55</v>
      </c>
      <c r="L188" s="1">
        <f t="shared" si="57"/>
        <v>60</v>
      </c>
      <c r="M188" s="1">
        <f t="shared" si="57"/>
        <v>54</v>
      </c>
      <c r="N188" s="1">
        <f t="shared" si="57"/>
        <v>61</v>
      </c>
      <c r="O188" s="1">
        <f t="shared" si="57"/>
        <v>61</v>
      </c>
      <c r="P188" s="1">
        <f t="shared" si="57"/>
        <v>47</v>
      </c>
      <c r="Q188" s="1">
        <f t="shared" si="57"/>
        <v>57</v>
      </c>
    </row>
    <row r="189" spans="1:32" x14ac:dyDescent="0.25">
      <c r="A189" t="s">
        <v>206</v>
      </c>
      <c r="B189" s="1">
        <f>COUNTIF(B2:B184,3)</f>
        <v>58</v>
      </c>
      <c r="C189" s="1">
        <f t="shared" ref="C189:Q189" si="58">COUNTIF(C2:C184,3)</f>
        <v>60</v>
      </c>
      <c r="D189" s="1">
        <f t="shared" si="58"/>
        <v>52</v>
      </c>
      <c r="E189" s="1">
        <f t="shared" si="58"/>
        <v>64</v>
      </c>
      <c r="F189" s="1">
        <f t="shared" si="58"/>
        <v>58</v>
      </c>
      <c r="G189" s="1">
        <f t="shared" si="58"/>
        <v>56</v>
      </c>
      <c r="H189" s="1">
        <f t="shared" si="58"/>
        <v>59</v>
      </c>
      <c r="I189" s="1">
        <f t="shared" si="58"/>
        <v>58</v>
      </c>
      <c r="J189" s="1">
        <f t="shared" si="58"/>
        <v>52</v>
      </c>
      <c r="K189" s="1">
        <f t="shared" si="58"/>
        <v>56</v>
      </c>
      <c r="L189" s="1">
        <f t="shared" si="58"/>
        <v>55</v>
      </c>
      <c r="M189" s="1">
        <f t="shared" si="58"/>
        <v>45</v>
      </c>
      <c r="N189" s="1">
        <f t="shared" si="58"/>
        <v>48</v>
      </c>
      <c r="O189" s="1">
        <f t="shared" si="58"/>
        <v>54</v>
      </c>
      <c r="P189" s="1">
        <f t="shared" si="58"/>
        <v>59</v>
      </c>
      <c r="Q189" s="1">
        <f t="shared" si="58"/>
        <v>56</v>
      </c>
    </row>
    <row r="190" spans="1:32" x14ac:dyDescent="0.25">
      <c r="A190" t="s">
        <v>210</v>
      </c>
      <c r="B190" s="1">
        <f>COUNTIF(B2:B184,4)</f>
        <v>29</v>
      </c>
      <c r="C190" s="1">
        <f t="shared" ref="C190:Q190" si="59">COUNTIF(C2:C184,4)</f>
        <v>26</v>
      </c>
      <c r="D190" s="1">
        <f t="shared" si="59"/>
        <v>32</v>
      </c>
      <c r="E190" s="1">
        <f t="shared" si="59"/>
        <v>29</v>
      </c>
      <c r="F190" s="1">
        <f t="shared" si="59"/>
        <v>30</v>
      </c>
      <c r="G190" s="1">
        <f t="shared" si="59"/>
        <v>31</v>
      </c>
      <c r="H190" s="1">
        <f t="shared" si="59"/>
        <v>25</v>
      </c>
      <c r="I190" s="1">
        <f t="shared" si="59"/>
        <v>34</v>
      </c>
      <c r="J190" s="1">
        <f t="shared" si="59"/>
        <v>33</v>
      </c>
      <c r="K190" s="1">
        <f t="shared" si="59"/>
        <v>30</v>
      </c>
      <c r="L190" s="1">
        <f t="shared" si="59"/>
        <v>25</v>
      </c>
      <c r="M190" s="1">
        <f t="shared" si="59"/>
        <v>36</v>
      </c>
      <c r="N190" s="1">
        <f t="shared" si="59"/>
        <v>35</v>
      </c>
      <c r="O190" s="1">
        <f t="shared" si="59"/>
        <v>28</v>
      </c>
      <c r="P190" s="1">
        <f t="shared" si="59"/>
        <v>26</v>
      </c>
      <c r="Q190" s="1">
        <f t="shared" si="59"/>
        <v>28</v>
      </c>
    </row>
    <row r="191" spans="1:32" x14ac:dyDescent="0.25">
      <c r="A191" t="s">
        <v>207</v>
      </c>
      <c r="B191" s="1">
        <f>COUNTIF(B2:B184,5)</f>
        <v>17</v>
      </c>
      <c r="C191" s="1">
        <f t="shared" ref="C191:Q191" si="60">COUNTIF(C2:C184,5)</f>
        <v>14</v>
      </c>
      <c r="D191" s="1">
        <f t="shared" si="60"/>
        <v>17</v>
      </c>
      <c r="E191" s="1">
        <f t="shared" si="60"/>
        <v>18</v>
      </c>
      <c r="F191" s="1">
        <f t="shared" si="60"/>
        <v>19</v>
      </c>
      <c r="G191" s="1">
        <f t="shared" si="60"/>
        <v>20</v>
      </c>
      <c r="H191" s="1">
        <f t="shared" si="60"/>
        <v>18</v>
      </c>
      <c r="I191" s="1">
        <f t="shared" si="60"/>
        <v>17</v>
      </c>
      <c r="J191" s="1">
        <f t="shared" si="60"/>
        <v>14</v>
      </c>
      <c r="K191" s="1">
        <f t="shared" si="60"/>
        <v>17</v>
      </c>
      <c r="L191" s="1">
        <f t="shared" si="60"/>
        <v>22</v>
      </c>
      <c r="M191" s="1">
        <f t="shared" si="60"/>
        <v>16</v>
      </c>
      <c r="N191" s="1">
        <f t="shared" si="60"/>
        <v>18</v>
      </c>
      <c r="O191" s="1">
        <f t="shared" si="60"/>
        <v>18</v>
      </c>
      <c r="P191" s="1">
        <f t="shared" si="60"/>
        <v>23</v>
      </c>
      <c r="Q191" s="1">
        <f t="shared" si="60"/>
        <v>18</v>
      </c>
    </row>
    <row r="192" spans="1:32" x14ac:dyDescent="0.25">
      <c r="A192" t="s">
        <v>208</v>
      </c>
      <c r="B192" s="1">
        <f>SUM(B187:B191)</f>
        <v>183</v>
      </c>
      <c r="C192" s="1">
        <f t="shared" ref="C192:Q192" si="61">SUM(C187:C191)</f>
        <v>183</v>
      </c>
      <c r="D192" s="1">
        <f t="shared" si="61"/>
        <v>183</v>
      </c>
      <c r="E192" s="1">
        <f t="shared" si="61"/>
        <v>183</v>
      </c>
      <c r="F192" s="1">
        <f t="shared" si="61"/>
        <v>183</v>
      </c>
      <c r="G192" s="1">
        <f t="shared" si="61"/>
        <v>183</v>
      </c>
      <c r="H192" s="1">
        <f t="shared" si="61"/>
        <v>183</v>
      </c>
      <c r="I192" s="1">
        <f t="shared" si="61"/>
        <v>183</v>
      </c>
      <c r="J192" s="1">
        <f t="shared" si="61"/>
        <v>183</v>
      </c>
      <c r="K192" s="1">
        <f t="shared" si="61"/>
        <v>183</v>
      </c>
      <c r="L192" s="1">
        <f t="shared" si="61"/>
        <v>183</v>
      </c>
      <c r="M192" s="1">
        <f t="shared" si="61"/>
        <v>183</v>
      </c>
      <c r="N192" s="1">
        <f t="shared" si="61"/>
        <v>183</v>
      </c>
      <c r="O192" s="1">
        <f t="shared" si="61"/>
        <v>183</v>
      </c>
      <c r="P192" s="1">
        <f t="shared" si="61"/>
        <v>183</v>
      </c>
      <c r="Q192" s="1">
        <f t="shared" si="61"/>
        <v>183</v>
      </c>
    </row>
    <row r="193" spans="1:17" x14ac:dyDescent="0.25">
      <c r="A193" t="s">
        <v>204</v>
      </c>
      <c r="B193" s="8">
        <f>B187/183</f>
        <v>0.13114754098360656</v>
      </c>
      <c r="C193" s="8">
        <f t="shared" ref="C193:Q193" si="62">C187/183</f>
        <v>0.14754098360655737</v>
      </c>
      <c r="D193" s="8">
        <f t="shared" si="62"/>
        <v>0.16393442622950818</v>
      </c>
      <c r="E193" s="8">
        <f t="shared" si="62"/>
        <v>0.14207650273224043</v>
      </c>
      <c r="F193" s="13">
        <f t="shared" si="62"/>
        <v>0.12568306010928962</v>
      </c>
      <c r="G193" s="13">
        <f t="shared" si="62"/>
        <v>0.15300546448087432</v>
      </c>
      <c r="H193" s="13">
        <f t="shared" si="62"/>
        <v>0.10928961748633879</v>
      </c>
      <c r="I193" s="13">
        <f t="shared" si="62"/>
        <v>0.13661202185792351</v>
      </c>
      <c r="J193" s="15">
        <f t="shared" si="62"/>
        <v>0.14207650273224043</v>
      </c>
      <c r="K193" s="15">
        <f t="shared" si="62"/>
        <v>0.13661202185792351</v>
      </c>
      <c r="L193" s="15">
        <f t="shared" si="62"/>
        <v>0.11475409836065574</v>
      </c>
      <c r="M193" s="15">
        <f t="shared" si="62"/>
        <v>0.17486338797814208</v>
      </c>
      <c r="N193" s="17">
        <f t="shared" si="62"/>
        <v>0.11475409836065574</v>
      </c>
      <c r="O193" s="17">
        <f t="shared" si="62"/>
        <v>0.12021857923497267</v>
      </c>
      <c r="P193" s="17">
        <f t="shared" si="62"/>
        <v>0.15300546448087432</v>
      </c>
      <c r="Q193" s="17">
        <f t="shared" si="62"/>
        <v>0.13114754098360656</v>
      </c>
    </row>
    <row r="194" spans="1:17" x14ac:dyDescent="0.25">
      <c r="A194" t="s">
        <v>205</v>
      </c>
      <c r="B194" s="8">
        <f t="shared" ref="B194:Q198" si="63">B188/183</f>
        <v>0.30054644808743169</v>
      </c>
      <c r="C194" s="8">
        <f t="shared" si="63"/>
        <v>0.30601092896174864</v>
      </c>
      <c r="D194" s="8">
        <f t="shared" si="63"/>
        <v>0.28415300546448086</v>
      </c>
      <c r="E194" s="8">
        <f t="shared" si="63"/>
        <v>0.25136612021857924</v>
      </c>
      <c r="F194" s="13">
        <f t="shared" si="63"/>
        <v>0.2896174863387978</v>
      </c>
      <c r="G194" s="13">
        <f t="shared" si="63"/>
        <v>0.26229508196721313</v>
      </c>
      <c r="H194" s="13">
        <f t="shared" si="63"/>
        <v>0.33333333333333331</v>
      </c>
      <c r="I194" s="13">
        <f t="shared" si="63"/>
        <v>0.26775956284153007</v>
      </c>
      <c r="J194" s="15">
        <f t="shared" si="63"/>
        <v>0.31693989071038253</v>
      </c>
      <c r="K194" s="15">
        <f t="shared" si="63"/>
        <v>0.30054644808743169</v>
      </c>
      <c r="L194" s="15">
        <f t="shared" si="63"/>
        <v>0.32786885245901637</v>
      </c>
      <c r="M194" s="15">
        <f t="shared" si="63"/>
        <v>0.29508196721311475</v>
      </c>
      <c r="N194" s="17">
        <f t="shared" si="63"/>
        <v>0.33333333333333331</v>
      </c>
      <c r="O194" s="17">
        <f t="shared" si="63"/>
        <v>0.33333333333333331</v>
      </c>
      <c r="P194" s="17">
        <f t="shared" si="63"/>
        <v>0.25683060109289618</v>
      </c>
      <c r="Q194" s="17">
        <f t="shared" si="63"/>
        <v>0.31147540983606559</v>
      </c>
    </row>
    <row r="195" spans="1:17" x14ac:dyDescent="0.25">
      <c r="A195" t="s">
        <v>206</v>
      </c>
      <c r="B195" s="8">
        <f t="shared" si="63"/>
        <v>0.31693989071038253</v>
      </c>
      <c r="C195" s="8">
        <f t="shared" si="63"/>
        <v>0.32786885245901637</v>
      </c>
      <c r="D195" s="8">
        <f t="shared" si="63"/>
        <v>0.28415300546448086</v>
      </c>
      <c r="E195" s="8">
        <f t="shared" si="63"/>
        <v>0.34972677595628415</v>
      </c>
      <c r="F195" s="13">
        <f t="shared" si="63"/>
        <v>0.31693989071038253</v>
      </c>
      <c r="G195" s="13">
        <f t="shared" si="63"/>
        <v>0.30601092896174864</v>
      </c>
      <c r="H195" s="13">
        <f t="shared" si="63"/>
        <v>0.32240437158469948</v>
      </c>
      <c r="I195" s="13">
        <f t="shared" si="63"/>
        <v>0.31693989071038253</v>
      </c>
      <c r="J195" s="15">
        <f t="shared" si="63"/>
        <v>0.28415300546448086</v>
      </c>
      <c r="K195" s="15">
        <f t="shared" si="63"/>
        <v>0.30601092896174864</v>
      </c>
      <c r="L195" s="15">
        <f t="shared" si="63"/>
        <v>0.30054644808743169</v>
      </c>
      <c r="M195" s="15">
        <f t="shared" si="63"/>
        <v>0.24590163934426229</v>
      </c>
      <c r="N195" s="17">
        <f t="shared" si="63"/>
        <v>0.26229508196721313</v>
      </c>
      <c r="O195" s="17">
        <f t="shared" si="63"/>
        <v>0.29508196721311475</v>
      </c>
      <c r="P195" s="17">
        <f t="shared" si="63"/>
        <v>0.32240437158469948</v>
      </c>
      <c r="Q195" s="17">
        <f t="shared" si="63"/>
        <v>0.30601092896174864</v>
      </c>
    </row>
    <row r="196" spans="1:17" x14ac:dyDescent="0.25">
      <c r="A196" t="s">
        <v>210</v>
      </c>
      <c r="B196" s="8">
        <f t="shared" si="63"/>
        <v>0.15846994535519127</v>
      </c>
      <c r="C196" s="8">
        <f t="shared" si="63"/>
        <v>0.14207650273224043</v>
      </c>
      <c r="D196" s="8">
        <f t="shared" si="63"/>
        <v>0.17486338797814208</v>
      </c>
      <c r="E196" s="8">
        <f t="shared" si="63"/>
        <v>0.15846994535519127</v>
      </c>
      <c r="F196" s="13">
        <f t="shared" si="63"/>
        <v>0.16393442622950818</v>
      </c>
      <c r="G196" s="13">
        <f t="shared" si="63"/>
        <v>0.16939890710382513</v>
      </c>
      <c r="H196" s="13">
        <f t="shared" si="63"/>
        <v>0.13661202185792351</v>
      </c>
      <c r="I196" s="13">
        <f t="shared" si="63"/>
        <v>0.18579234972677597</v>
      </c>
      <c r="J196" s="15">
        <f t="shared" si="63"/>
        <v>0.18032786885245902</v>
      </c>
      <c r="K196" s="15">
        <f t="shared" si="63"/>
        <v>0.16393442622950818</v>
      </c>
      <c r="L196" s="15">
        <f t="shared" si="63"/>
        <v>0.13661202185792351</v>
      </c>
      <c r="M196" s="15">
        <f t="shared" si="63"/>
        <v>0.19672131147540983</v>
      </c>
      <c r="N196" s="17">
        <f t="shared" si="63"/>
        <v>0.19125683060109289</v>
      </c>
      <c r="O196" s="17">
        <f t="shared" si="63"/>
        <v>0.15300546448087432</v>
      </c>
      <c r="P196" s="17">
        <f t="shared" si="63"/>
        <v>0.14207650273224043</v>
      </c>
      <c r="Q196" s="17">
        <f t="shared" si="63"/>
        <v>0.15300546448087432</v>
      </c>
    </row>
    <row r="197" spans="1:17" x14ac:dyDescent="0.25">
      <c r="A197" t="s">
        <v>207</v>
      </c>
      <c r="B197" s="8">
        <f t="shared" si="63"/>
        <v>9.2896174863387984E-2</v>
      </c>
      <c r="C197" s="8">
        <f t="shared" si="63"/>
        <v>7.650273224043716E-2</v>
      </c>
      <c r="D197" s="8">
        <f t="shared" si="63"/>
        <v>9.2896174863387984E-2</v>
      </c>
      <c r="E197" s="8">
        <f t="shared" si="63"/>
        <v>9.8360655737704916E-2</v>
      </c>
      <c r="F197" s="13">
        <f t="shared" si="63"/>
        <v>0.10382513661202186</v>
      </c>
      <c r="G197" s="13">
        <f t="shared" si="63"/>
        <v>0.10928961748633879</v>
      </c>
      <c r="H197" s="13">
        <f t="shared" si="63"/>
        <v>9.8360655737704916E-2</v>
      </c>
      <c r="I197" s="13">
        <f t="shared" si="63"/>
        <v>9.2896174863387984E-2</v>
      </c>
      <c r="J197" s="15">
        <f t="shared" si="63"/>
        <v>7.650273224043716E-2</v>
      </c>
      <c r="K197" s="15">
        <f t="shared" si="63"/>
        <v>9.2896174863387984E-2</v>
      </c>
      <c r="L197" s="15">
        <f t="shared" si="63"/>
        <v>0.12021857923497267</v>
      </c>
      <c r="M197" s="15">
        <f t="shared" si="63"/>
        <v>8.7431693989071038E-2</v>
      </c>
      <c r="N197" s="17">
        <f t="shared" si="63"/>
        <v>9.8360655737704916E-2</v>
      </c>
      <c r="O197" s="17">
        <f t="shared" si="63"/>
        <v>9.8360655737704916E-2</v>
      </c>
      <c r="P197" s="17">
        <f t="shared" si="63"/>
        <v>0.12568306010928962</v>
      </c>
      <c r="Q197" s="17">
        <f t="shared" si="63"/>
        <v>9.8360655737704916E-2</v>
      </c>
    </row>
    <row r="198" spans="1:17" x14ac:dyDescent="0.25">
      <c r="A198" t="s">
        <v>208</v>
      </c>
      <c r="B198" s="9">
        <f t="shared" si="63"/>
        <v>1</v>
      </c>
      <c r="C198" s="9">
        <f t="shared" si="63"/>
        <v>1</v>
      </c>
      <c r="D198" s="9">
        <f t="shared" si="63"/>
        <v>1</v>
      </c>
      <c r="E198" s="9">
        <f t="shared" si="63"/>
        <v>1</v>
      </c>
      <c r="F198" s="14">
        <f t="shared" si="63"/>
        <v>1</v>
      </c>
      <c r="G198" s="14">
        <f t="shared" si="63"/>
        <v>1</v>
      </c>
      <c r="H198" s="14">
        <f t="shared" si="63"/>
        <v>1</v>
      </c>
      <c r="I198" s="14">
        <f t="shared" si="63"/>
        <v>1</v>
      </c>
      <c r="J198" s="16">
        <f t="shared" si="63"/>
        <v>1</v>
      </c>
      <c r="K198" s="16">
        <f t="shared" si="63"/>
        <v>1</v>
      </c>
      <c r="L198" s="16">
        <f t="shared" si="63"/>
        <v>1</v>
      </c>
      <c r="M198" s="16">
        <f t="shared" si="63"/>
        <v>1</v>
      </c>
      <c r="N198" s="18">
        <f t="shared" si="63"/>
        <v>1</v>
      </c>
      <c r="O198" s="18">
        <f t="shared" si="63"/>
        <v>1</v>
      </c>
      <c r="P198" s="18">
        <f t="shared" si="63"/>
        <v>1</v>
      </c>
      <c r="Q198" s="18">
        <f t="shared" si="63"/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EFA0-B7DD-432C-BB39-A9B6F7589991}">
  <dimension ref="A1:AN185"/>
  <sheetViews>
    <sheetView topLeftCell="AB61" zoomScale="90" zoomScaleNormal="90" workbookViewId="0">
      <selection activeCell="AO11" sqref="AO11"/>
    </sheetView>
  </sheetViews>
  <sheetFormatPr baseColWidth="10" defaultRowHeight="15" x14ac:dyDescent="0.25"/>
  <cols>
    <col min="1" max="1" width="12.28515625" bestFit="1" customWidth="1"/>
    <col min="2" max="10" width="6.140625" style="1" customWidth="1"/>
    <col min="11" max="21" width="7.140625" style="1" customWidth="1"/>
    <col min="22" max="26" width="7.140625" customWidth="1"/>
    <col min="27" max="27" width="9.42578125" style="22" customWidth="1"/>
    <col min="28" max="28" width="9.140625" style="22" customWidth="1"/>
    <col min="29" max="29" width="12.7109375" style="22" customWidth="1"/>
    <col min="30" max="30" width="12.28515625" style="22" customWidth="1"/>
    <col min="31" max="31" width="11.42578125" style="22" customWidth="1"/>
    <col min="32" max="32" width="34.42578125" bestFit="1" customWidth="1"/>
    <col min="33" max="33" width="9.7109375" customWidth="1"/>
    <col min="34" max="34" width="9.42578125" customWidth="1"/>
    <col min="35" max="35" width="6.85546875" customWidth="1"/>
    <col min="36" max="36" width="34.42578125" bestFit="1" customWidth="1"/>
  </cols>
  <sheetData>
    <row r="1" spans="1:40" ht="37.5" customHeight="1" x14ac:dyDescent="0.25">
      <c r="B1" s="39" t="s">
        <v>0</v>
      </c>
      <c r="C1" s="39" t="s">
        <v>1</v>
      </c>
      <c r="D1" s="39" t="s">
        <v>2</v>
      </c>
      <c r="E1" s="39" t="s">
        <v>3</v>
      </c>
      <c r="F1" s="39" t="s">
        <v>4</v>
      </c>
      <c r="G1" s="39" t="s">
        <v>5</v>
      </c>
      <c r="H1" s="39" t="s">
        <v>6</v>
      </c>
      <c r="I1" s="39" t="s">
        <v>7</v>
      </c>
      <c r="J1" s="39" t="s">
        <v>8</v>
      </c>
      <c r="K1" s="39" t="s">
        <v>9</v>
      </c>
      <c r="L1" s="39" t="s">
        <v>10</v>
      </c>
      <c r="M1" s="39" t="s">
        <v>11</v>
      </c>
      <c r="N1" s="39" t="s">
        <v>12</v>
      </c>
      <c r="O1" s="39" t="s">
        <v>13</v>
      </c>
      <c r="P1" s="39" t="s">
        <v>14</v>
      </c>
      <c r="Q1" s="39" t="s">
        <v>15</v>
      </c>
      <c r="R1" s="39" t="s">
        <v>199</v>
      </c>
      <c r="S1" s="39" t="s">
        <v>200</v>
      </c>
      <c r="T1" s="39" t="s">
        <v>201</v>
      </c>
      <c r="U1" s="39" t="s">
        <v>202</v>
      </c>
      <c r="V1" s="39" t="s">
        <v>239</v>
      </c>
      <c r="W1" s="39" t="s">
        <v>240</v>
      </c>
      <c r="X1" s="39" t="s">
        <v>241</v>
      </c>
      <c r="Y1" s="39" t="s">
        <v>242</v>
      </c>
      <c r="Z1" s="39" t="s">
        <v>243</v>
      </c>
      <c r="AA1" s="1" t="s">
        <v>249</v>
      </c>
      <c r="AB1" s="29" t="s">
        <v>250</v>
      </c>
      <c r="AC1" s="1" t="s">
        <v>251</v>
      </c>
      <c r="AD1" s="1" t="s">
        <v>252</v>
      </c>
      <c r="AE1" s="1" t="s">
        <v>253</v>
      </c>
      <c r="AF1" s="1" t="s">
        <v>248</v>
      </c>
      <c r="AG1" s="1" t="s">
        <v>254</v>
      </c>
      <c r="AH1" s="1"/>
      <c r="AI1" s="1"/>
    </row>
    <row r="2" spans="1:40" x14ac:dyDescent="0.25">
      <c r="A2" t="s">
        <v>16</v>
      </c>
      <c r="B2" s="1">
        <v>1</v>
      </c>
      <c r="C2" s="1">
        <v>1</v>
      </c>
      <c r="D2" s="1">
        <v>0</v>
      </c>
      <c r="E2" s="1">
        <v>1</v>
      </c>
      <c r="F2" s="1">
        <v>1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1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 s="1">
        <v>1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22">
        <f t="shared" ref="AA2:AA33" si="0">SUM(B2,D2,E2,H2,K2,M2,N2,P2,S2,T2,X2,Y2,Z2)</f>
        <v>6</v>
      </c>
      <c r="AB2" s="1">
        <f t="shared" ref="AB2:AB33" si="1">SUM(C2,F2,I2,O2,R2,V2)</f>
        <v>2</v>
      </c>
      <c r="AC2" s="1">
        <f t="shared" ref="AC2:AC33" si="2">SUM(G2,J2,L2,Q2,U2,W2)</f>
        <v>2</v>
      </c>
      <c r="AD2" s="22">
        <f t="shared" ref="AD2:AD33" si="3">SUM(AA2:AC2)</f>
        <v>10</v>
      </c>
      <c r="AE2" s="22">
        <f t="shared" ref="AE2:AE33" si="4">AD2*4</f>
        <v>40</v>
      </c>
      <c r="AF2" t="str">
        <f t="shared" ref="AF2:AF33" si="5">IF(AE2&lt;=$AL$3,$AJ$3,IF(AE2&lt;=$AL$4,$AJ$4,IF(AE2&lt;=$AL$5,$AJ$5,IF(AE2&lt;=$AL$6,$AJ$6,"erik"))))</f>
        <v>Nivel de Autoestima Medio Bajo</v>
      </c>
      <c r="AG2" s="1">
        <f>IF(AF2=$AJ$3,$AI$3,IF(AF2=$AJ$4,$AI$4,IF(AF2=$AJ$5,$AI$5,IF(AF2=$AJ$6,$AI$6,"erik"))))</f>
        <v>2</v>
      </c>
      <c r="AK2" s="1" t="s">
        <v>227</v>
      </c>
      <c r="AL2" s="1" t="s">
        <v>228</v>
      </c>
      <c r="AM2" s="1" t="s">
        <v>255</v>
      </c>
      <c r="AN2" s="1" t="s">
        <v>256</v>
      </c>
    </row>
    <row r="3" spans="1:40" x14ac:dyDescent="0.25">
      <c r="A3" t="s">
        <v>17</v>
      </c>
      <c r="B3" s="1">
        <v>1</v>
      </c>
      <c r="C3" s="1">
        <v>1</v>
      </c>
      <c r="D3" s="1">
        <v>1</v>
      </c>
      <c r="E3" s="1">
        <v>0</v>
      </c>
      <c r="F3" s="1">
        <v>1</v>
      </c>
      <c r="G3" s="1">
        <v>0</v>
      </c>
      <c r="H3" s="1">
        <v>1</v>
      </c>
      <c r="I3" s="1">
        <v>1</v>
      </c>
      <c r="J3" s="1">
        <v>0</v>
      </c>
      <c r="K3" s="1">
        <v>0</v>
      </c>
      <c r="L3" s="1">
        <v>1</v>
      </c>
      <c r="M3" s="1">
        <v>1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22">
        <f t="shared" si="0"/>
        <v>5</v>
      </c>
      <c r="AB3" s="1">
        <f t="shared" si="1"/>
        <v>3</v>
      </c>
      <c r="AC3" s="1">
        <f t="shared" si="2"/>
        <v>1</v>
      </c>
      <c r="AD3" s="22">
        <f t="shared" si="3"/>
        <v>9</v>
      </c>
      <c r="AE3" s="22">
        <f t="shared" si="4"/>
        <v>36</v>
      </c>
      <c r="AF3" t="str">
        <f t="shared" si="5"/>
        <v>Nivel de Autoestima Medio Bajo</v>
      </c>
      <c r="AG3" s="1">
        <f t="shared" ref="AG3:AG66" si="6">IF(AF3=$AJ$3,$AI$3,IF(AF3=$AJ$4,$AI$4,IF(AF3=$AJ$5,$AI$5,IF(AF3=$AJ$6,$AI$6,"erik"))))</f>
        <v>2</v>
      </c>
      <c r="AI3">
        <v>1</v>
      </c>
      <c r="AJ3" t="s">
        <v>244</v>
      </c>
      <c r="AK3" s="1">
        <v>0</v>
      </c>
      <c r="AL3" s="1">
        <v>24</v>
      </c>
      <c r="AM3" s="1">
        <f t="array" ref="AM3:AM6">FREQUENCY(AE2:AE184,AL3:AL6)</f>
        <v>47</v>
      </c>
      <c r="AN3" s="41">
        <f>AM3/$AM$7</f>
        <v>0.25683060109289618</v>
      </c>
    </row>
    <row r="4" spans="1:40" x14ac:dyDescent="0.25">
      <c r="A4" t="s">
        <v>18</v>
      </c>
      <c r="B4" s="1">
        <v>0</v>
      </c>
      <c r="C4" s="1">
        <v>0</v>
      </c>
      <c r="D4" s="1">
        <v>0</v>
      </c>
      <c r="E4" s="1">
        <v>1</v>
      </c>
      <c r="F4" s="1">
        <v>1</v>
      </c>
      <c r="G4" s="1">
        <v>1</v>
      </c>
      <c r="H4" s="1">
        <v>1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0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0</v>
      </c>
      <c r="X4" s="1">
        <v>1</v>
      </c>
      <c r="Y4" s="1">
        <v>1</v>
      </c>
      <c r="Z4" s="1">
        <v>0</v>
      </c>
      <c r="AA4" s="22">
        <f t="shared" si="0"/>
        <v>9</v>
      </c>
      <c r="AB4" s="1">
        <f t="shared" si="1"/>
        <v>3</v>
      </c>
      <c r="AC4" s="1">
        <f t="shared" si="2"/>
        <v>5</v>
      </c>
      <c r="AD4" s="22">
        <f t="shared" si="3"/>
        <v>17</v>
      </c>
      <c r="AE4" s="22">
        <f t="shared" si="4"/>
        <v>68</v>
      </c>
      <c r="AF4" t="str">
        <f t="shared" si="5"/>
        <v>Nivel de Autoestima Medio Alto</v>
      </c>
      <c r="AG4" s="1">
        <f t="shared" si="6"/>
        <v>3</v>
      </c>
      <c r="AI4">
        <v>2</v>
      </c>
      <c r="AJ4" t="s">
        <v>245</v>
      </c>
      <c r="AK4" s="1">
        <v>25</v>
      </c>
      <c r="AL4" s="1">
        <v>49</v>
      </c>
      <c r="AM4" s="1">
        <v>20</v>
      </c>
      <c r="AN4" s="41">
        <f t="shared" ref="AN4:AN6" si="7">AM4/$AM$7</f>
        <v>0.10928961748633879</v>
      </c>
    </row>
    <row r="5" spans="1:40" x14ac:dyDescent="0.25">
      <c r="A5" t="s">
        <v>19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0</v>
      </c>
      <c r="Z5" s="1">
        <v>0</v>
      </c>
      <c r="AA5" s="22">
        <f t="shared" si="0"/>
        <v>11</v>
      </c>
      <c r="AB5" s="1">
        <f t="shared" si="1"/>
        <v>6</v>
      </c>
      <c r="AC5" s="1">
        <f t="shared" si="2"/>
        <v>6</v>
      </c>
      <c r="AD5" s="22">
        <f t="shared" si="3"/>
        <v>23</v>
      </c>
      <c r="AE5" s="22">
        <f t="shared" si="4"/>
        <v>92</v>
      </c>
      <c r="AF5" t="str">
        <f t="shared" si="5"/>
        <v>Nivel de Autoestima Alto</v>
      </c>
      <c r="AG5" s="1">
        <f t="shared" si="6"/>
        <v>4</v>
      </c>
      <c r="AI5">
        <v>3</v>
      </c>
      <c r="AJ5" t="s">
        <v>246</v>
      </c>
      <c r="AK5" s="1">
        <v>50</v>
      </c>
      <c r="AL5" s="1">
        <v>74</v>
      </c>
      <c r="AM5" s="1">
        <v>90</v>
      </c>
      <c r="AN5" s="41">
        <f t="shared" si="7"/>
        <v>0.49180327868852458</v>
      </c>
    </row>
    <row r="6" spans="1:40" x14ac:dyDescent="0.25">
      <c r="A6" t="s">
        <v>20</v>
      </c>
      <c r="B6" s="1">
        <v>1</v>
      </c>
      <c r="C6" s="1">
        <v>1</v>
      </c>
      <c r="D6" s="1">
        <v>0</v>
      </c>
      <c r="E6" s="1">
        <v>1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22">
        <f t="shared" si="0"/>
        <v>2</v>
      </c>
      <c r="AB6" s="1">
        <f t="shared" si="1"/>
        <v>2</v>
      </c>
      <c r="AC6" s="1">
        <f t="shared" si="2"/>
        <v>3</v>
      </c>
      <c r="AD6" s="22">
        <f t="shared" si="3"/>
        <v>7</v>
      </c>
      <c r="AE6" s="22">
        <f t="shared" si="4"/>
        <v>28</v>
      </c>
      <c r="AF6" t="str">
        <f t="shared" si="5"/>
        <v>Nivel de Autoestima Medio Bajo</v>
      </c>
      <c r="AG6" s="1">
        <f t="shared" si="6"/>
        <v>2</v>
      </c>
      <c r="AI6">
        <v>4</v>
      </c>
      <c r="AJ6" t="s">
        <v>247</v>
      </c>
      <c r="AK6" s="1">
        <v>75</v>
      </c>
      <c r="AL6" s="1">
        <v>100</v>
      </c>
      <c r="AM6" s="1">
        <v>26</v>
      </c>
      <c r="AN6" s="41">
        <f t="shared" si="7"/>
        <v>0.14207650273224043</v>
      </c>
    </row>
    <row r="7" spans="1:40" x14ac:dyDescent="0.25">
      <c r="A7" t="s">
        <v>21</v>
      </c>
      <c r="B7" s="1">
        <v>1</v>
      </c>
      <c r="C7" s="1">
        <v>0</v>
      </c>
      <c r="D7" s="1">
        <v>1</v>
      </c>
      <c r="E7" s="1">
        <v>0</v>
      </c>
      <c r="F7" s="1">
        <v>1</v>
      </c>
      <c r="G7" s="1">
        <v>1</v>
      </c>
      <c r="H7" s="1">
        <v>1</v>
      </c>
      <c r="I7" s="1">
        <v>0</v>
      </c>
      <c r="J7" s="1">
        <v>1</v>
      </c>
      <c r="K7" s="1">
        <v>0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1</v>
      </c>
      <c r="R7" s="1">
        <v>1</v>
      </c>
      <c r="S7" s="1">
        <v>1</v>
      </c>
      <c r="T7" s="1">
        <v>1</v>
      </c>
      <c r="U7" s="1">
        <v>0</v>
      </c>
      <c r="V7" s="1">
        <v>1</v>
      </c>
      <c r="W7" s="1">
        <v>0</v>
      </c>
      <c r="X7" s="1">
        <v>1</v>
      </c>
      <c r="Y7" s="1">
        <v>1</v>
      </c>
      <c r="Z7" s="1">
        <v>1</v>
      </c>
      <c r="AA7" s="22">
        <f t="shared" si="0"/>
        <v>9</v>
      </c>
      <c r="AB7" s="1">
        <f t="shared" si="1"/>
        <v>3</v>
      </c>
      <c r="AC7" s="1">
        <f t="shared" si="2"/>
        <v>3</v>
      </c>
      <c r="AD7" s="22">
        <f t="shared" si="3"/>
        <v>15</v>
      </c>
      <c r="AE7" s="22">
        <f t="shared" si="4"/>
        <v>60</v>
      </c>
      <c r="AF7" t="str">
        <f t="shared" si="5"/>
        <v>Nivel de Autoestima Medio Alto</v>
      </c>
      <c r="AG7" s="1">
        <f t="shared" si="6"/>
        <v>3</v>
      </c>
      <c r="AJ7" t="s">
        <v>208</v>
      </c>
      <c r="AK7" s="1"/>
      <c r="AL7" s="1"/>
      <c r="AM7" s="1">
        <f>SUM(AM3:AM6)</f>
        <v>183</v>
      </c>
      <c r="AN7" s="41">
        <f>SUM(AN3:AN6)</f>
        <v>1</v>
      </c>
    </row>
    <row r="8" spans="1:40" x14ac:dyDescent="0.25">
      <c r="A8" t="s">
        <v>22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1</v>
      </c>
      <c r="Q8" s="1">
        <v>1</v>
      </c>
      <c r="R8" s="1">
        <v>0</v>
      </c>
      <c r="S8" s="1">
        <v>1</v>
      </c>
      <c r="T8" s="1">
        <v>1</v>
      </c>
      <c r="U8" s="1">
        <v>0</v>
      </c>
      <c r="V8" s="1">
        <v>1</v>
      </c>
      <c r="W8" s="1">
        <v>0</v>
      </c>
      <c r="X8" s="1">
        <v>0</v>
      </c>
      <c r="Y8" s="1">
        <v>1</v>
      </c>
      <c r="Z8" s="1">
        <v>1</v>
      </c>
      <c r="AA8" s="22">
        <f t="shared" si="0"/>
        <v>8</v>
      </c>
      <c r="AB8" s="1">
        <f t="shared" si="1"/>
        <v>4</v>
      </c>
      <c r="AC8" s="1">
        <f t="shared" si="2"/>
        <v>3</v>
      </c>
      <c r="AD8" s="22">
        <f t="shared" si="3"/>
        <v>15</v>
      </c>
      <c r="AE8" s="22">
        <f t="shared" si="4"/>
        <v>60</v>
      </c>
      <c r="AF8" t="str">
        <f t="shared" si="5"/>
        <v>Nivel de Autoestima Medio Alto</v>
      </c>
      <c r="AG8" s="1">
        <f t="shared" si="6"/>
        <v>3</v>
      </c>
    </row>
    <row r="9" spans="1:40" x14ac:dyDescent="0.25">
      <c r="A9" t="s">
        <v>23</v>
      </c>
      <c r="B9" s="1">
        <v>1</v>
      </c>
      <c r="C9" s="1">
        <v>1</v>
      </c>
      <c r="D9" s="1">
        <v>0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1</v>
      </c>
      <c r="O9" s="1">
        <v>1</v>
      </c>
      <c r="P9" s="1">
        <v>1</v>
      </c>
      <c r="Q9" s="1">
        <v>0</v>
      </c>
      <c r="R9" s="1">
        <v>1</v>
      </c>
      <c r="S9" s="1">
        <v>0</v>
      </c>
      <c r="T9" s="1">
        <v>1</v>
      </c>
      <c r="U9" s="1">
        <v>1</v>
      </c>
      <c r="V9" s="1">
        <v>0</v>
      </c>
      <c r="W9" s="1">
        <v>0</v>
      </c>
      <c r="X9" s="1">
        <v>1</v>
      </c>
      <c r="Y9" s="1">
        <v>1</v>
      </c>
      <c r="Z9" s="1">
        <v>1</v>
      </c>
      <c r="AA9" s="22">
        <f t="shared" si="0"/>
        <v>10</v>
      </c>
      <c r="AB9" s="1">
        <f t="shared" si="1"/>
        <v>5</v>
      </c>
      <c r="AC9" s="1">
        <f t="shared" si="2"/>
        <v>3</v>
      </c>
      <c r="AD9" s="22">
        <f t="shared" si="3"/>
        <v>18</v>
      </c>
      <c r="AE9" s="22">
        <f t="shared" si="4"/>
        <v>72</v>
      </c>
      <c r="AF9" t="str">
        <f t="shared" si="5"/>
        <v>Nivel de Autoestima Medio Alto</v>
      </c>
      <c r="AG9" s="1">
        <f t="shared" si="6"/>
        <v>3</v>
      </c>
    </row>
    <row r="10" spans="1:40" x14ac:dyDescent="0.25">
      <c r="A10" t="s">
        <v>24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0</v>
      </c>
      <c r="S10" s="1">
        <v>1</v>
      </c>
      <c r="T10" s="1">
        <v>1</v>
      </c>
      <c r="U10" s="1">
        <v>1</v>
      </c>
      <c r="V10" s="1">
        <v>1</v>
      </c>
      <c r="W10" s="1">
        <v>0</v>
      </c>
      <c r="X10" s="1">
        <v>1</v>
      </c>
      <c r="Y10" s="1">
        <v>1</v>
      </c>
      <c r="Z10" s="1">
        <v>1</v>
      </c>
      <c r="AA10" s="22">
        <f t="shared" si="0"/>
        <v>13</v>
      </c>
      <c r="AB10" s="1">
        <f t="shared" si="1"/>
        <v>5</v>
      </c>
      <c r="AC10" s="1">
        <f t="shared" si="2"/>
        <v>5</v>
      </c>
      <c r="AD10" s="22">
        <f t="shared" si="3"/>
        <v>23</v>
      </c>
      <c r="AE10" s="22">
        <f t="shared" si="4"/>
        <v>92</v>
      </c>
      <c r="AF10" t="str">
        <f t="shared" si="5"/>
        <v>Nivel de Autoestima Alto</v>
      </c>
      <c r="AG10" s="1">
        <f t="shared" si="6"/>
        <v>4</v>
      </c>
      <c r="AK10" t="s">
        <v>256</v>
      </c>
    </row>
    <row r="11" spans="1:40" x14ac:dyDescent="0.25">
      <c r="A11" t="s">
        <v>25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1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22">
        <f t="shared" si="0"/>
        <v>2</v>
      </c>
      <c r="AB11" s="1">
        <f t="shared" si="1"/>
        <v>1</v>
      </c>
      <c r="AC11" s="1">
        <f t="shared" si="2"/>
        <v>1</v>
      </c>
      <c r="AD11" s="22">
        <f t="shared" si="3"/>
        <v>4</v>
      </c>
      <c r="AE11" s="22">
        <f t="shared" si="4"/>
        <v>16</v>
      </c>
      <c r="AF11" t="str">
        <f t="shared" si="5"/>
        <v>Nivel de Autoestima Bajo</v>
      </c>
      <c r="AG11" s="1">
        <f t="shared" si="6"/>
        <v>1</v>
      </c>
      <c r="AJ11" t="s">
        <v>244</v>
      </c>
      <c r="AK11" s="40">
        <f>AN3</f>
        <v>0.25683060109289618</v>
      </c>
    </row>
    <row r="12" spans="1:40" x14ac:dyDescent="0.25">
      <c r="A12" t="s">
        <v>26</v>
      </c>
      <c r="B12" s="1">
        <v>1</v>
      </c>
      <c r="C12" s="1">
        <v>1</v>
      </c>
      <c r="D12" s="1">
        <v>1</v>
      </c>
      <c r="E12" s="1">
        <v>0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0</v>
      </c>
      <c r="L12" s="1">
        <v>0</v>
      </c>
      <c r="M12" s="1">
        <v>1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1</v>
      </c>
      <c r="T12" s="1">
        <v>1</v>
      </c>
      <c r="U12" s="1">
        <v>1</v>
      </c>
      <c r="V12" s="1">
        <v>0</v>
      </c>
      <c r="W12" s="1">
        <v>0</v>
      </c>
      <c r="X12" s="1">
        <v>0</v>
      </c>
      <c r="Y12" s="1">
        <v>1</v>
      </c>
      <c r="Z12" s="1">
        <v>1</v>
      </c>
      <c r="AA12" s="22">
        <f t="shared" si="0"/>
        <v>9</v>
      </c>
      <c r="AB12" s="1">
        <f t="shared" si="1"/>
        <v>4</v>
      </c>
      <c r="AC12" s="1">
        <f t="shared" si="2"/>
        <v>3</v>
      </c>
      <c r="AD12" s="22">
        <f t="shared" si="3"/>
        <v>16</v>
      </c>
      <c r="AE12" s="22">
        <f t="shared" si="4"/>
        <v>64</v>
      </c>
      <c r="AF12" t="str">
        <f t="shared" si="5"/>
        <v>Nivel de Autoestima Medio Alto</v>
      </c>
      <c r="AG12" s="1">
        <f t="shared" si="6"/>
        <v>3</v>
      </c>
      <c r="AJ12" t="s">
        <v>245</v>
      </c>
      <c r="AK12" s="40">
        <f t="shared" ref="AK12:AK14" si="8">AN4</f>
        <v>0.10928961748633879</v>
      </c>
    </row>
    <row r="13" spans="1:40" x14ac:dyDescent="0.25">
      <c r="A13" t="s">
        <v>27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0</v>
      </c>
      <c r="J13" s="1">
        <v>1</v>
      </c>
      <c r="K13" s="1">
        <v>0</v>
      </c>
      <c r="L13" s="1">
        <v>1</v>
      </c>
      <c r="M13" s="1">
        <v>0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0</v>
      </c>
      <c r="U13" s="1">
        <v>0</v>
      </c>
      <c r="V13" s="1">
        <v>1</v>
      </c>
      <c r="W13" s="1">
        <v>0</v>
      </c>
      <c r="X13" s="1">
        <v>1</v>
      </c>
      <c r="Y13" s="1">
        <v>0</v>
      </c>
      <c r="Z13" s="1">
        <v>1</v>
      </c>
      <c r="AA13" s="22">
        <f t="shared" si="0"/>
        <v>7</v>
      </c>
      <c r="AB13" s="1">
        <f t="shared" si="1"/>
        <v>3</v>
      </c>
      <c r="AC13" s="1">
        <f t="shared" si="2"/>
        <v>4</v>
      </c>
      <c r="AD13" s="22">
        <f t="shared" si="3"/>
        <v>14</v>
      </c>
      <c r="AE13" s="22">
        <f t="shared" si="4"/>
        <v>56</v>
      </c>
      <c r="AF13" t="str">
        <f t="shared" si="5"/>
        <v>Nivel de Autoestima Medio Alto</v>
      </c>
      <c r="AG13" s="1">
        <f t="shared" si="6"/>
        <v>3</v>
      </c>
      <c r="AJ13" t="s">
        <v>246</v>
      </c>
      <c r="AK13" s="40">
        <f t="shared" si="8"/>
        <v>0.49180327868852458</v>
      </c>
    </row>
    <row r="14" spans="1:40" x14ac:dyDescent="0.25">
      <c r="A14" t="s">
        <v>28</v>
      </c>
      <c r="B14" s="1">
        <v>1</v>
      </c>
      <c r="C14" s="1">
        <v>0</v>
      </c>
      <c r="D14" s="1">
        <v>0</v>
      </c>
      <c r="E14" s="1">
        <v>0</v>
      </c>
      <c r="F14" s="1">
        <v>1</v>
      </c>
      <c r="G14" s="1">
        <v>1</v>
      </c>
      <c r="H14" s="1">
        <v>1</v>
      </c>
      <c r="I14" s="1">
        <v>0</v>
      </c>
      <c r="J14" s="1">
        <v>0</v>
      </c>
      <c r="K14" s="1">
        <v>1</v>
      </c>
      <c r="L14" s="1">
        <v>1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1</v>
      </c>
      <c r="S14" s="1">
        <v>1</v>
      </c>
      <c r="T14" s="1">
        <v>0</v>
      </c>
      <c r="U14" s="1">
        <v>1</v>
      </c>
      <c r="V14" s="1">
        <v>1</v>
      </c>
      <c r="W14" s="1">
        <v>1</v>
      </c>
      <c r="X14" s="1">
        <v>1</v>
      </c>
      <c r="Y14" s="1">
        <v>0</v>
      </c>
      <c r="Z14" s="1">
        <v>0</v>
      </c>
      <c r="AA14" s="22">
        <f t="shared" si="0"/>
        <v>6</v>
      </c>
      <c r="AB14" s="1">
        <f t="shared" si="1"/>
        <v>3</v>
      </c>
      <c r="AC14" s="1">
        <f t="shared" si="2"/>
        <v>4</v>
      </c>
      <c r="AD14" s="22">
        <f t="shared" si="3"/>
        <v>13</v>
      </c>
      <c r="AE14" s="22">
        <f t="shared" si="4"/>
        <v>52</v>
      </c>
      <c r="AF14" t="str">
        <f t="shared" si="5"/>
        <v>Nivel de Autoestima Medio Alto</v>
      </c>
      <c r="AG14" s="1">
        <f t="shared" si="6"/>
        <v>3</v>
      </c>
      <c r="AJ14" t="s">
        <v>247</v>
      </c>
      <c r="AK14" s="40">
        <f t="shared" si="8"/>
        <v>0.14207650273224043</v>
      </c>
    </row>
    <row r="15" spans="1:40" x14ac:dyDescent="0.25">
      <c r="A15" t="s">
        <v>29</v>
      </c>
      <c r="B15" s="1">
        <v>1</v>
      </c>
      <c r="C15" s="1">
        <v>0</v>
      </c>
      <c r="D15" s="1">
        <v>0</v>
      </c>
      <c r="E15" s="1">
        <v>1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1</v>
      </c>
      <c r="Q15" s="1">
        <v>0</v>
      </c>
      <c r="R15" s="1">
        <v>0</v>
      </c>
      <c r="S15" s="1">
        <v>1</v>
      </c>
      <c r="T15" s="1">
        <v>0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22">
        <f t="shared" si="0"/>
        <v>5</v>
      </c>
      <c r="AB15" s="1">
        <f t="shared" si="1"/>
        <v>1</v>
      </c>
      <c r="AC15" s="1">
        <f t="shared" si="2"/>
        <v>2</v>
      </c>
      <c r="AD15" s="22">
        <f t="shared" si="3"/>
        <v>8</v>
      </c>
      <c r="AE15" s="22">
        <f t="shared" si="4"/>
        <v>32</v>
      </c>
      <c r="AF15" t="str">
        <f t="shared" si="5"/>
        <v>Nivel de Autoestima Medio Bajo</v>
      </c>
      <c r="AG15" s="1">
        <f t="shared" si="6"/>
        <v>2</v>
      </c>
    </row>
    <row r="16" spans="1:40" x14ac:dyDescent="0.25">
      <c r="A16" t="s">
        <v>30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0</v>
      </c>
      <c r="R16" s="1">
        <v>1</v>
      </c>
      <c r="S16" s="1">
        <v>1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0</v>
      </c>
      <c r="AA16" s="22">
        <f t="shared" si="0"/>
        <v>9</v>
      </c>
      <c r="AB16" s="1">
        <f t="shared" si="1"/>
        <v>2</v>
      </c>
      <c r="AC16" s="1">
        <f t="shared" si="2"/>
        <v>1</v>
      </c>
      <c r="AD16" s="22">
        <f t="shared" si="3"/>
        <v>12</v>
      </c>
      <c r="AE16" s="22">
        <f t="shared" si="4"/>
        <v>48</v>
      </c>
      <c r="AF16" t="str">
        <f t="shared" si="5"/>
        <v>Nivel de Autoestima Medio Bajo</v>
      </c>
      <c r="AG16" s="1">
        <f t="shared" si="6"/>
        <v>2</v>
      </c>
    </row>
    <row r="17" spans="1:33" x14ac:dyDescent="0.25">
      <c r="A17" t="s">
        <v>31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1</v>
      </c>
      <c r="I17" s="1">
        <v>0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>
        <v>0</v>
      </c>
      <c r="V17" s="1">
        <v>1</v>
      </c>
      <c r="W17" s="1">
        <v>0</v>
      </c>
      <c r="X17" s="1">
        <v>0</v>
      </c>
      <c r="Y17" s="1">
        <v>0</v>
      </c>
      <c r="Z17" s="1">
        <v>0</v>
      </c>
      <c r="AA17" s="22">
        <f t="shared" si="0"/>
        <v>3</v>
      </c>
      <c r="AB17" s="1">
        <f t="shared" si="1"/>
        <v>2</v>
      </c>
      <c r="AC17" s="1">
        <f t="shared" si="2"/>
        <v>1</v>
      </c>
      <c r="AD17" s="22">
        <f t="shared" si="3"/>
        <v>6</v>
      </c>
      <c r="AE17" s="22">
        <f t="shared" si="4"/>
        <v>24</v>
      </c>
      <c r="AF17" t="str">
        <f t="shared" si="5"/>
        <v>Nivel de Autoestima Bajo</v>
      </c>
      <c r="AG17" s="1">
        <f t="shared" si="6"/>
        <v>1</v>
      </c>
    </row>
    <row r="18" spans="1:33" x14ac:dyDescent="0.25">
      <c r="A18" t="s">
        <v>32</v>
      </c>
      <c r="B18" s="1">
        <v>1</v>
      </c>
      <c r="C18" s="1">
        <v>1</v>
      </c>
      <c r="D18" s="1">
        <v>1</v>
      </c>
      <c r="E18" s="1">
        <v>0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0</v>
      </c>
      <c r="N18" s="1">
        <v>0</v>
      </c>
      <c r="O18" s="1">
        <v>1</v>
      </c>
      <c r="P18" s="1">
        <v>0</v>
      </c>
      <c r="Q18" s="1">
        <v>1</v>
      </c>
      <c r="R18" s="1">
        <v>1</v>
      </c>
      <c r="S18" s="1">
        <v>0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22">
        <f t="shared" si="0"/>
        <v>8</v>
      </c>
      <c r="AB18" s="1">
        <f t="shared" si="1"/>
        <v>6</v>
      </c>
      <c r="AC18" s="1">
        <f t="shared" si="2"/>
        <v>6</v>
      </c>
      <c r="AD18" s="22">
        <f t="shared" si="3"/>
        <v>20</v>
      </c>
      <c r="AE18" s="22">
        <f t="shared" si="4"/>
        <v>80</v>
      </c>
      <c r="AF18" t="str">
        <f t="shared" si="5"/>
        <v>Nivel de Autoestima Alto</v>
      </c>
      <c r="AG18" s="1">
        <f t="shared" si="6"/>
        <v>4</v>
      </c>
    </row>
    <row r="19" spans="1:33" x14ac:dyDescent="0.25">
      <c r="A19" t="s">
        <v>33</v>
      </c>
      <c r="B19" s="1">
        <v>1</v>
      </c>
      <c r="C19" s="1">
        <v>1</v>
      </c>
      <c r="D19" s="1">
        <v>0</v>
      </c>
      <c r="E19" s="1">
        <v>1</v>
      </c>
      <c r="F19" s="1">
        <v>1</v>
      </c>
      <c r="G19" s="1">
        <v>1</v>
      </c>
      <c r="H19" s="1">
        <v>0</v>
      </c>
      <c r="I19" s="1">
        <v>1</v>
      </c>
      <c r="J19" s="1">
        <v>1</v>
      </c>
      <c r="K19" s="1">
        <v>1</v>
      </c>
      <c r="L19" s="1">
        <v>1</v>
      </c>
      <c r="M19" s="1">
        <v>0</v>
      </c>
      <c r="N19" s="1">
        <v>1</v>
      </c>
      <c r="O19" s="1">
        <v>0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22">
        <f t="shared" si="0"/>
        <v>10</v>
      </c>
      <c r="AB19" s="1">
        <f t="shared" si="1"/>
        <v>5</v>
      </c>
      <c r="AC19" s="1">
        <f t="shared" si="2"/>
        <v>6</v>
      </c>
      <c r="AD19" s="22">
        <f t="shared" si="3"/>
        <v>21</v>
      </c>
      <c r="AE19" s="22">
        <f t="shared" si="4"/>
        <v>84</v>
      </c>
      <c r="AF19" t="str">
        <f t="shared" si="5"/>
        <v>Nivel de Autoestima Alto</v>
      </c>
      <c r="AG19" s="1">
        <f t="shared" si="6"/>
        <v>4</v>
      </c>
    </row>
    <row r="20" spans="1:33" x14ac:dyDescent="0.25">
      <c r="A20" t="s">
        <v>34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1</v>
      </c>
      <c r="W20" s="1">
        <v>1</v>
      </c>
      <c r="X20" s="1">
        <v>1</v>
      </c>
      <c r="Y20" s="1">
        <v>0</v>
      </c>
      <c r="Z20" s="1">
        <v>0</v>
      </c>
      <c r="AA20" s="22">
        <f t="shared" si="0"/>
        <v>2</v>
      </c>
      <c r="AB20" s="1">
        <f t="shared" si="1"/>
        <v>2</v>
      </c>
      <c r="AC20" s="1">
        <f t="shared" si="2"/>
        <v>2</v>
      </c>
      <c r="AD20" s="22">
        <f t="shared" si="3"/>
        <v>6</v>
      </c>
      <c r="AE20" s="22">
        <f t="shared" si="4"/>
        <v>24</v>
      </c>
      <c r="AF20" t="str">
        <f t="shared" si="5"/>
        <v>Nivel de Autoestima Bajo</v>
      </c>
      <c r="AG20" s="1">
        <f t="shared" si="6"/>
        <v>1</v>
      </c>
    </row>
    <row r="21" spans="1:33" x14ac:dyDescent="0.25">
      <c r="A21" t="s">
        <v>35</v>
      </c>
      <c r="B21" s="1">
        <v>0</v>
      </c>
      <c r="C21" s="1">
        <v>1</v>
      </c>
      <c r="D21" s="1">
        <v>1</v>
      </c>
      <c r="E21" s="1">
        <v>0</v>
      </c>
      <c r="F21" s="1">
        <v>0</v>
      </c>
      <c r="G21" s="1">
        <v>1</v>
      </c>
      <c r="H21" s="1">
        <v>1</v>
      </c>
      <c r="I21" s="1">
        <v>0</v>
      </c>
      <c r="J21" s="1">
        <v>1</v>
      </c>
      <c r="K21" s="1">
        <v>1</v>
      </c>
      <c r="L21" s="1">
        <v>1</v>
      </c>
      <c r="M21" s="1">
        <v>0</v>
      </c>
      <c r="N21" s="1">
        <v>1</v>
      </c>
      <c r="O21" s="1">
        <v>1</v>
      </c>
      <c r="P21" s="1">
        <v>0</v>
      </c>
      <c r="Q21" s="1">
        <v>1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1</v>
      </c>
      <c r="Y21" s="1">
        <v>1</v>
      </c>
      <c r="Z21" s="1">
        <v>1</v>
      </c>
      <c r="AA21" s="22">
        <f t="shared" si="0"/>
        <v>7</v>
      </c>
      <c r="AB21" s="1">
        <f t="shared" si="1"/>
        <v>3</v>
      </c>
      <c r="AC21" s="1">
        <f t="shared" si="2"/>
        <v>5</v>
      </c>
      <c r="AD21" s="22">
        <f t="shared" si="3"/>
        <v>15</v>
      </c>
      <c r="AE21" s="22">
        <f t="shared" si="4"/>
        <v>60</v>
      </c>
      <c r="AF21" t="str">
        <f t="shared" si="5"/>
        <v>Nivel de Autoestima Medio Alto</v>
      </c>
      <c r="AG21" s="1">
        <f t="shared" si="6"/>
        <v>3</v>
      </c>
    </row>
    <row r="22" spans="1:33" x14ac:dyDescent="0.25">
      <c r="A22" t="s">
        <v>36</v>
      </c>
      <c r="B22" s="1">
        <v>0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0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1</v>
      </c>
      <c r="AA22" s="22">
        <f t="shared" si="0"/>
        <v>9</v>
      </c>
      <c r="AB22" s="1">
        <f t="shared" si="1"/>
        <v>4</v>
      </c>
      <c r="AC22" s="1">
        <f t="shared" si="2"/>
        <v>4</v>
      </c>
      <c r="AD22" s="22">
        <f t="shared" si="3"/>
        <v>17</v>
      </c>
      <c r="AE22" s="22">
        <f t="shared" si="4"/>
        <v>68</v>
      </c>
      <c r="AF22" t="str">
        <f t="shared" si="5"/>
        <v>Nivel de Autoestima Medio Alto</v>
      </c>
      <c r="AG22" s="1">
        <f t="shared" si="6"/>
        <v>3</v>
      </c>
    </row>
    <row r="23" spans="1:33" x14ac:dyDescent="0.25">
      <c r="A23" t="s">
        <v>37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0</v>
      </c>
      <c r="P23" s="1">
        <v>1</v>
      </c>
      <c r="Q23" s="1">
        <v>0</v>
      </c>
      <c r="R23" s="1">
        <v>1</v>
      </c>
      <c r="S23" s="1">
        <v>1</v>
      </c>
      <c r="T23" s="1">
        <v>1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22">
        <f t="shared" si="0"/>
        <v>10</v>
      </c>
      <c r="AB23" s="1">
        <f t="shared" si="1"/>
        <v>5</v>
      </c>
      <c r="AC23" s="1">
        <f t="shared" si="2"/>
        <v>3</v>
      </c>
      <c r="AD23" s="22">
        <f t="shared" si="3"/>
        <v>18</v>
      </c>
      <c r="AE23" s="22">
        <f t="shared" si="4"/>
        <v>72</v>
      </c>
      <c r="AF23" t="str">
        <f t="shared" si="5"/>
        <v>Nivel de Autoestima Medio Alto</v>
      </c>
      <c r="AG23" s="1">
        <f t="shared" si="6"/>
        <v>3</v>
      </c>
    </row>
    <row r="24" spans="1:33" x14ac:dyDescent="0.25">
      <c r="A24" t="s">
        <v>38</v>
      </c>
      <c r="B24" s="1">
        <v>1</v>
      </c>
      <c r="C24" s="1">
        <v>1</v>
      </c>
      <c r="D24" s="1">
        <v>0</v>
      </c>
      <c r="E24" s="1">
        <v>0</v>
      </c>
      <c r="F24" s="1">
        <v>1</v>
      </c>
      <c r="G24" s="1">
        <v>1</v>
      </c>
      <c r="H24" s="1">
        <v>0</v>
      </c>
      <c r="I24" s="1">
        <v>0</v>
      </c>
      <c r="J24" s="1">
        <v>1</v>
      </c>
      <c r="K24" s="1">
        <v>0</v>
      </c>
      <c r="L24" s="1">
        <v>1</v>
      </c>
      <c r="M24" s="1">
        <v>1</v>
      </c>
      <c r="N24" s="1">
        <v>0</v>
      </c>
      <c r="O24" s="1">
        <v>0</v>
      </c>
      <c r="P24" s="1">
        <v>1</v>
      </c>
      <c r="Q24" s="1">
        <v>1</v>
      </c>
      <c r="R24" s="1">
        <v>1</v>
      </c>
      <c r="S24" s="1">
        <v>0</v>
      </c>
      <c r="T24" s="1">
        <v>1</v>
      </c>
      <c r="U24" s="1">
        <v>0</v>
      </c>
      <c r="V24" s="1">
        <v>1</v>
      </c>
      <c r="W24" s="1">
        <v>0</v>
      </c>
      <c r="X24" s="1">
        <v>1</v>
      </c>
      <c r="Y24" s="1">
        <v>1</v>
      </c>
      <c r="Z24" s="1">
        <v>0</v>
      </c>
      <c r="AA24" s="22">
        <f t="shared" si="0"/>
        <v>6</v>
      </c>
      <c r="AB24" s="1">
        <f t="shared" si="1"/>
        <v>4</v>
      </c>
      <c r="AC24" s="1">
        <f t="shared" si="2"/>
        <v>4</v>
      </c>
      <c r="AD24" s="22">
        <f t="shared" si="3"/>
        <v>14</v>
      </c>
      <c r="AE24" s="22">
        <f t="shared" si="4"/>
        <v>56</v>
      </c>
      <c r="AF24" t="str">
        <f t="shared" si="5"/>
        <v>Nivel de Autoestima Medio Alto</v>
      </c>
      <c r="AG24" s="1">
        <f t="shared" si="6"/>
        <v>3</v>
      </c>
    </row>
    <row r="25" spans="1:33" x14ac:dyDescent="0.25">
      <c r="A25" t="s">
        <v>39</v>
      </c>
      <c r="B25" s="1">
        <v>1</v>
      </c>
      <c r="C25" s="1">
        <v>1</v>
      </c>
      <c r="D25" s="1">
        <v>0</v>
      </c>
      <c r="E25" s="1">
        <v>1</v>
      </c>
      <c r="F25" s="1">
        <v>0</v>
      </c>
      <c r="G25" s="1">
        <v>1</v>
      </c>
      <c r="H25" s="1">
        <v>1</v>
      </c>
      <c r="I25" s="1">
        <v>0</v>
      </c>
      <c r="J25" s="1">
        <v>1</v>
      </c>
      <c r="K25" s="1">
        <v>0</v>
      </c>
      <c r="L25" s="1">
        <v>1</v>
      </c>
      <c r="M25" s="1">
        <v>0</v>
      </c>
      <c r="N25" s="1">
        <v>1</v>
      </c>
      <c r="O25" s="1">
        <v>0</v>
      </c>
      <c r="P25" s="1">
        <v>1</v>
      </c>
      <c r="Q25" s="1">
        <v>0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0</v>
      </c>
      <c r="Z25" s="1">
        <v>0</v>
      </c>
      <c r="AA25" s="22">
        <f t="shared" si="0"/>
        <v>8</v>
      </c>
      <c r="AB25" s="1">
        <f t="shared" si="1"/>
        <v>3</v>
      </c>
      <c r="AC25" s="1">
        <f t="shared" si="2"/>
        <v>5</v>
      </c>
      <c r="AD25" s="22">
        <f t="shared" si="3"/>
        <v>16</v>
      </c>
      <c r="AE25" s="22">
        <f t="shared" si="4"/>
        <v>64</v>
      </c>
      <c r="AF25" t="str">
        <f t="shared" si="5"/>
        <v>Nivel de Autoestima Medio Alto</v>
      </c>
      <c r="AG25" s="1">
        <f t="shared" si="6"/>
        <v>3</v>
      </c>
    </row>
    <row r="26" spans="1:33" x14ac:dyDescent="0.25">
      <c r="A26" t="s">
        <v>40</v>
      </c>
      <c r="B26" s="1">
        <v>1</v>
      </c>
      <c r="C26" s="1">
        <v>0</v>
      </c>
      <c r="D26" s="1">
        <v>1</v>
      </c>
      <c r="E26" s="1">
        <v>1</v>
      </c>
      <c r="F26" s="1">
        <v>0</v>
      </c>
      <c r="G26" s="1">
        <v>1</v>
      </c>
      <c r="H26" s="1">
        <v>1</v>
      </c>
      <c r="I26" s="1">
        <v>0</v>
      </c>
      <c r="J26" s="1">
        <v>1</v>
      </c>
      <c r="K26" s="1">
        <v>1</v>
      </c>
      <c r="L26" s="1">
        <v>0</v>
      </c>
      <c r="M26" s="1">
        <v>1</v>
      </c>
      <c r="N26" s="1">
        <v>1</v>
      </c>
      <c r="O26" s="1">
        <v>1</v>
      </c>
      <c r="P26" s="1">
        <v>1</v>
      </c>
      <c r="Q26" s="1">
        <v>0</v>
      </c>
      <c r="R26" s="1">
        <v>1</v>
      </c>
      <c r="S26" s="1">
        <v>0</v>
      </c>
      <c r="T26" s="1">
        <v>1</v>
      </c>
      <c r="U26" s="1">
        <v>1</v>
      </c>
      <c r="V26" s="1">
        <v>0</v>
      </c>
      <c r="W26" s="1">
        <v>1</v>
      </c>
      <c r="X26" s="1">
        <v>1</v>
      </c>
      <c r="Y26" s="1">
        <v>1</v>
      </c>
      <c r="Z26" s="1">
        <v>1</v>
      </c>
      <c r="AA26" s="22">
        <f t="shared" si="0"/>
        <v>12</v>
      </c>
      <c r="AB26" s="1">
        <f t="shared" si="1"/>
        <v>2</v>
      </c>
      <c r="AC26" s="1">
        <f t="shared" si="2"/>
        <v>4</v>
      </c>
      <c r="AD26" s="22">
        <f t="shared" si="3"/>
        <v>18</v>
      </c>
      <c r="AE26" s="22">
        <f t="shared" si="4"/>
        <v>72</v>
      </c>
      <c r="AF26" t="str">
        <f t="shared" si="5"/>
        <v>Nivel de Autoestima Medio Alto</v>
      </c>
      <c r="AG26" s="1">
        <f t="shared" si="6"/>
        <v>3</v>
      </c>
    </row>
    <row r="27" spans="1:33" x14ac:dyDescent="0.25">
      <c r="A27" t="s">
        <v>41</v>
      </c>
      <c r="B27" s="1">
        <v>1</v>
      </c>
      <c r="C27" s="1">
        <v>1</v>
      </c>
      <c r="D27" s="1">
        <v>0</v>
      </c>
      <c r="E27" s="1">
        <v>1</v>
      </c>
      <c r="F27" s="1">
        <v>1</v>
      </c>
      <c r="G27" s="1">
        <v>1</v>
      </c>
      <c r="H27" s="1">
        <v>0</v>
      </c>
      <c r="I27" s="1">
        <v>1</v>
      </c>
      <c r="J27" s="1">
        <v>1</v>
      </c>
      <c r="K27" s="1">
        <v>1</v>
      </c>
      <c r="L27" s="1">
        <v>0</v>
      </c>
      <c r="M27" s="1">
        <v>1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0</v>
      </c>
      <c r="U27" s="1">
        <v>1</v>
      </c>
      <c r="V27" s="1">
        <v>0</v>
      </c>
      <c r="W27" s="1">
        <v>0</v>
      </c>
      <c r="X27" s="1">
        <v>1</v>
      </c>
      <c r="Y27" s="1">
        <v>1</v>
      </c>
      <c r="Z27" s="1">
        <v>1</v>
      </c>
      <c r="AA27" s="22">
        <f t="shared" si="0"/>
        <v>9</v>
      </c>
      <c r="AB27" s="1">
        <f t="shared" si="1"/>
        <v>3</v>
      </c>
      <c r="AC27" s="1">
        <f t="shared" si="2"/>
        <v>3</v>
      </c>
      <c r="AD27" s="22">
        <f t="shared" si="3"/>
        <v>15</v>
      </c>
      <c r="AE27" s="22">
        <f t="shared" si="4"/>
        <v>60</v>
      </c>
      <c r="AF27" t="str">
        <f t="shared" si="5"/>
        <v>Nivel de Autoestima Medio Alto</v>
      </c>
      <c r="AG27" s="1">
        <f t="shared" si="6"/>
        <v>3</v>
      </c>
    </row>
    <row r="28" spans="1:33" x14ac:dyDescent="0.25">
      <c r="A28" t="s">
        <v>42</v>
      </c>
      <c r="B28" s="1">
        <v>1</v>
      </c>
      <c r="C28" s="1">
        <v>1</v>
      </c>
      <c r="D28" s="1">
        <v>0</v>
      </c>
      <c r="E28" s="1">
        <v>1</v>
      </c>
      <c r="F28" s="1">
        <v>1</v>
      </c>
      <c r="G28" s="1">
        <v>1</v>
      </c>
      <c r="H28" s="1">
        <v>0</v>
      </c>
      <c r="I28" s="1">
        <v>1</v>
      </c>
      <c r="J28" s="1">
        <v>0</v>
      </c>
      <c r="K28" s="1">
        <v>1</v>
      </c>
      <c r="L28" s="1">
        <v>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0</v>
      </c>
      <c r="T28" s="1">
        <v>1</v>
      </c>
      <c r="U28" s="1">
        <v>1</v>
      </c>
      <c r="V28" s="1">
        <v>0</v>
      </c>
      <c r="W28" s="1">
        <v>1</v>
      </c>
      <c r="X28" s="1">
        <v>0</v>
      </c>
      <c r="Y28" s="1">
        <v>1</v>
      </c>
      <c r="Z28" s="1">
        <v>1</v>
      </c>
      <c r="AA28" s="22">
        <f t="shared" si="0"/>
        <v>6</v>
      </c>
      <c r="AB28" s="1">
        <f t="shared" si="1"/>
        <v>4</v>
      </c>
      <c r="AC28" s="1">
        <f t="shared" si="2"/>
        <v>4</v>
      </c>
      <c r="AD28" s="22">
        <f t="shared" si="3"/>
        <v>14</v>
      </c>
      <c r="AE28" s="22">
        <f t="shared" si="4"/>
        <v>56</v>
      </c>
      <c r="AF28" t="str">
        <f t="shared" si="5"/>
        <v>Nivel de Autoestima Medio Alto</v>
      </c>
      <c r="AG28" s="1">
        <f t="shared" si="6"/>
        <v>3</v>
      </c>
    </row>
    <row r="29" spans="1:33" x14ac:dyDescent="0.25">
      <c r="A29" t="s">
        <v>43</v>
      </c>
      <c r="B29" s="1">
        <v>0</v>
      </c>
      <c r="C29" s="1">
        <v>1</v>
      </c>
      <c r="D29" s="1">
        <v>1</v>
      </c>
      <c r="E29" s="1">
        <v>0</v>
      </c>
      <c r="F29" s="1">
        <v>1</v>
      </c>
      <c r="G29" s="1">
        <v>1</v>
      </c>
      <c r="H29" s="1">
        <v>0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0</v>
      </c>
      <c r="O29" s="1">
        <v>1</v>
      </c>
      <c r="P29" s="1">
        <v>0</v>
      </c>
      <c r="Q29" s="1">
        <v>1</v>
      </c>
      <c r="R29" s="1">
        <v>1</v>
      </c>
      <c r="S29" s="1">
        <v>0</v>
      </c>
      <c r="T29" s="1">
        <v>0</v>
      </c>
      <c r="U29" s="1">
        <v>1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22">
        <f t="shared" si="0"/>
        <v>3</v>
      </c>
      <c r="AB29" s="1">
        <f t="shared" si="1"/>
        <v>5</v>
      </c>
      <c r="AC29" s="1">
        <f t="shared" si="2"/>
        <v>5</v>
      </c>
      <c r="AD29" s="22">
        <f t="shared" si="3"/>
        <v>13</v>
      </c>
      <c r="AE29" s="22">
        <f t="shared" si="4"/>
        <v>52</v>
      </c>
      <c r="AF29" t="str">
        <f t="shared" si="5"/>
        <v>Nivel de Autoestima Medio Alto</v>
      </c>
      <c r="AG29" s="1">
        <f t="shared" si="6"/>
        <v>3</v>
      </c>
    </row>
    <row r="30" spans="1:33" x14ac:dyDescent="0.25">
      <c r="A30" t="s">
        <v>44</v>
      </c>
      <c r="B30" s="1">
        <v>1</v>
      </c>
      <c r="C30" s="1">
        <v>1</v>
      </c>
      <c r="D30" s="1">
        <v>0</v>
      </c>
      <c r="E30" s="1">
        <v>0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0</v>
      </c>
      <c r="L30" s="1">
        <v>1</v>
      </c>
      <c r="M30" s="1">
        <v>1</v>
      </c>
      <c r="N30" s="1">
        <v>1</v>
      </c>
      <c r="O30" s="1">
        <v>0</v>
      </c>
      <c r="P30" s="1">
        <v>1</v>
      </c>
      <c r="Q30" s="1">
        <v>1</v>
      </c>
      <c r="R30" s="1">
        <v>1</v>
      </c>
      <c r="S30" s="1">
        <v>0</v>
      </c>
      <c r="T30" s="1">
        <v>1</v>
      </c>
      <c r="U30" s="1">
        <v>1</v>
      </c>
      <c r="V30" s="1">
        <v>0</v>
      </c>
      <c r="W30" s="1">
        <v>1</v>
      </c>
      <c r="X30" s="1">
        <v>0</v>
      </c>
      <c r="Y30" s="1">
        <v>0</v>
      </c>
      <c r="Z30" s="1">
        <v>1</v>
      </c>
      <c r="AA30" s="22">
        <f t="shared" si="0"/>
        <v>7</v>
      </c>
      <c r="AB30" s="1">
        <f t="shared" si="1"/>
        <v>4</v>
      </c>
      <c r="AC30" s="1">
        <f t="shared" si="2"/>
        <v>6</v>
      </c>
      <c r="AD30" s="22">
        <f t="shared" si="3"/>
        <v>17</v>
      </c>
      <c r="AE30" s="22">
        <f t="shared" si="4"/>
        <v>68</v>
      </c>
      <c r="AF30" t="str">
        <f t="shared" si="5"/>
        <v>Nivel de Autoestima Medio Alto</v>
      </c>
      <c r="AG30" s="1">
        <f t="shared" si="6"/>
        <v>3</v>
      </c>
    </row>
    <row r="31" spans="1:33" x14ac:dyDescent="0.25">
      <c r="A31" t="s">
        <v>45</v>
      </c>
      <c r="B31" s="1">
        <v>0</v>
      </c>
      <c r="C31" s="1">
        <v>0</v>
      </c>
      <c r="D31" s="1">
        <v>0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1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22">
        <f t="shared" si="0"/>
        <v>3</v>
      </c>
      <c r="AB31" s="1">
        <f t="shared" si="1"/>
        <v>2</v>
      </c>
      <c r="AC31" s="1">
        <f t="shared" si="2"/>
        <v>1</v>
      </c>
      <c r="AD31" s="22">
        <f t="shared" si="3"/>
        <v>6</v>
      </c>
      <c r="AE31" s="22">
        <f t="shared" si="4"/>
        <v>24</v>
      </c>
      <c r="AF31" t="str">
        <f t="shared" si="5"/>
        <v>Nivel de Autoestima Bajo</v>
      </c>
      <c r="AG31" s="1">
        <f t="shared" si="6"/>
        <v>1</v>
      </c>
    </row>
    <row r="32" spans="1:33" x14ac:dyDescent="0.25">
      <c r="A32" t="s">
        <v>46</v>
      </c>
      <c r="B32" s="1">
        <v>1</v>
      </c>
      <c r="C32" s="1">
        <v>0</v>
      </c>
      <c r="D32" s="1">
        <v>0</v>
      </c>
      <c r="E32" s="1">
        <v>1</v>
      </c>
      <c r="F32" s="1">
        <v>1</v>
      </c>
      <c r="G32" s="1">
        <v>1</v>
      </c>
      <c r="H32" s="1">
        <v>1</v>
      </c>
      <c r="I32" s="1">
        <v>0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0</v>
      </c>
      <c r="R32" s="1">
        <v>0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0</v>
      </c>
      <c r="Y32" s="1">
        <v>1</v>
      </c>
      <c r="Z32" s="1">
        <v>0</v>
      </c>
      <c r="AA32" s="22">
        <f t="shared" si="0"/>
        <v>10</v>
      </c>
      <c r="AB32" s="1">
        <f t="shared" si="1"/>
        <v>3</v>
      </c>
      <c r="AC32" s="1">
        <f t="shared" si="2"/>
        <v>5</v>
      </c>
      <c r="AD32" s="22">
        <f t="shared" si="3"/>
        <v>18</v>
      </c>
      <c r="AE32" s="22">
        <f t="shared" si="4"/>
        <v>72</v>
      </c>
      <c r="AF32" t="str">
        <f t="shared" si="5"/>
        <v>Nivel de Autoestima Medio Alto</v>
      </c>
      <c r="AG32" s="1">
        <f t="shared" si="6"/>
        <v>3</v>
      </c>
    </row>
    <row r="33" spans="1:33" x14ac:dyDescent="0.25">
      <c r="A33" t="s">
        <v>47</v>
      </c>
      <c r="B33" s="1">
        <v>0</v>
      </c>
      <c r="C33" s="1">
        <v>1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1">
        <v>0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1</v>
      </c>
      <c r="AA33" s="22">
        <f t="shared" si="0"/>
        <v>6</v>
      </c>
      <c r="AB33" s="1">
        <f t="shared" si="1"/>
        <v>3</v>
      </c>
      <c r="AC33" s="1">
        <f t="shared" si="2"/>
        <v>4</v>
      </c>
      <c r="AD33" s="22">
        <f t="shared" si="3"/>
        <v>13</v>
      </c>
      <c r="AE33" s="22">
        <f t="shared" si="4"/>
        <v>52</v>
      </c>
      <c r="AF33" t="str">
        <f t="shared" si="5"/>
        <v>Nivel de Autoestima Medio Alto</v>
      </c>
      <c r="AG33" s="1">
        <f t="shared" si="6"/>
        <v>3</v>
      </c>
    </row>
    <row r="34" spans="1:33" x14ac:dyDescent="0.25">
      <c r="A34" t="s">
        <v>48</v>
      </c>
      <c r="B34" s="1">
        <v>0</v>
      </c>
      <c r="C34" s="1">
        <v>0</v>
      </c>
      <c r="D34" s="1">
        <v>1</v>
      </c>
      <c r="E34" s="1">
        <v>1</v>
      </c>
      <c r="F34" s="1">
        <v>1</v>
      </c>
      <c r="G34" s="1">
        <v>1</v>
      </c>
      <c r="H34" s="1">
        <v>0</v>
      </c>
      <c r="I34" s="1">
        <v>1</v>
      </c>
      <c r="J34" s="1">
        <v>1</v>
      </c>
      <c r="K34" s="1">
        <v>0</v>
      </c>
      <c r="L34" s="1">
        <v>0</v>
      </c>
      <c r="M34" s="1">
        <v>1</v>
      </c>
      <c r="N34" s="1">
        <v>1</v>
      </c>
      <c r="O34" s="1">
        <v>0</v>
      </c>
      <c r="P34" s="1">
        <v>0</v>
      </c>
      <c r="Q34" s="1">
        <v>0</v>
      </c>
      <c r="R34" s="1">
        <v>1</v>
      </c>
      <c r="S34" s="1">
        <v>1</v>
      </c>
      <c r="T34" s="1">
        <v>0</v>
      </c>
      <c r="U34" s="1">
        <v>0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22">
        <f t="shared" ref="AA34:AA65" si="9">SUM(B34,D34,E34,H34,K34,M34,N34,P34,S34,T34,X34,Y34,Z34)</f>
        <v>8</v>
      </c>
      <c r="AB34" s="1">
        <f t="shared" ref="AB34:AB65" si="10">SUM(C34,F34,I34,O34,R34,V34)</f>
        <v>4</v>
      </c>
      <c r="AC34" s="1">
        <f t="shared" ref="AC34:AC65" si="11">SUM(G34,J34,L34,Q34,U34,W34)</f>
        <v>3</v>
      </c>
      <c r="AD34" s="22">
        <f t="shared" ref="AD34:AD65" si="12">SUM(AA34:AC34)</f>
        <v>15</v>
      </c>
      <c r="AE34" s="22">
        <f t="shared" ref="AE34:AE65" si="13">AD34*4</f>
        <v>60</v>
      </c>
      <c r="AF34" t="str">
        <f t="shared" ref="AF34:AF65" si="14">IF(AE34&lt;=$AL$3,$AJ$3,IF(AE34&lt;=$AL$4,$AJ$4,IF(AE34&lt;=$AL$5,$AJ$5,IF(AE34&lt;=$AL$6,$AJ$6,"erik"))))</f>
        <v>Nivel de Autoestima Medio Alto</v>
      </c>
      <c r="AG34" s="1">
        <f t="shared" si="6"/>
        <v>3</v>
      </c>
    </row>
    <row r="35" spans="1:33" x14ac:dyDescent="0.25">
      <c r="A35" t="s">
        <v>49</v>
      </c>
      <c r="B35" s="1">
        <v>1</v>
      </c>
      <c r="C35" s="1">
        <v>1</v>
      </c>
      <c r="D35" s="1">
        <v>1</v>
      </c>
      <c r="E35" s="1">
        <v>0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0</v>
      </c>
      <c r="M35" s="1">
        <v>1</v>
      </c>
      <c r="N35" s="1">
        <v>0</v>
      </c>
      <c r="O35" s="1">
        <v>0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0</v>
      </c>
      <c r="X35" s="1">
        <v>0</v>
      </c>
      <c r="Y35" s="1">
        <v>0</v>
      </c>
      <c r="Z35" s="1">
        <v>1</v>
      </c>
      <c r="AA35" s="22">
        <f t="shared" si="9"/>
        <v>9</v>
      </c>
      <c r="AB35" s="1">
        <f t="shared" si="10"/>
        <v>5</v>
      </c>
      <c r="AC35" s="1">
        <f t="shared" si="11"/>
        <v>4</v>
      </c>
      <c r="AD35" s="22">
        <f t="shared" si="12"/>
        <v>18</v>
      </c>
      <c r="AE35" s="22">
        <f t="shared" si="13"/>
        <v>72</v>
      </c>
      <c r="AF35" t="str">
        <f t="shared" si="14"/>
        <v>Nivel de Autoestima Medio Alto</v>
      </c>
      <c r="AG35" s="1">
        <f t="shared" si="6"/>
        <v>3</v>
      </c>
    </row>
    <row r="36" spans="1:33" x14ac:dyDescent="0.25">
      <c r="A36" t="s">
        <v>50</v>
      </c>
      <c r="B36" s="1">
        <v>1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 s="1">
        <v>1</v>
      </c>
      <c r="K36" s="1">
        <v>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22">
        <f t="shared" si="9"/>
        <v>2</v>
      </c>
      <c r="AB36" s="1">
        <f t="shared" si="10"/>
        <v>2</v>
      </c>
      <c r="AC36" s="1">
        <f t="shared" si="11"/>
        <v>2</v>
      </c>
      <c r="AD36" s="22">
        <f t="shared" si="12"/>
        <v>6</v>
      </c>
      <c r="AE36" s="22">
        <f t="shared" si="13"/>
        <v>24</v>
      </c>
      <c r="AF36" t="str">
        <f t="shared" si="14"/>
        <v>Nivel de Autoestima Bajo</v>
      </c>
      <c r="AG36" s="1">
        <f t="shared" si="6"/>
        <v>1</v>
      </c>
    </row>
    <row r="37" spans="1:33" x14ac:dyDescent="0.25">
      <c r="A37" t="s">
        <v>51</v>
      </c>
      <c r="B37" s="1">
        <v>1</v>
      </c>
      <c r="C37" s="1">
        <v>1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1</v>
      </c>
      <c r="M37" s="1">
        <v>0</v>
      </c>
      <c r="N37" s="1">
        <v>1</v>
      </c>
      <c r="O37" s="1">
        <v>1</v>
      </c>
      <c r="P37" s="1">
        <v>1</v>
      </c>
      <c r="Q37" s="1">
        <v>0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0</v>
      </c>
      <c r="X37" s="1">
        <v>1</v>
      </c>
      <c r="Y37" s="1">
        <v>1</v>
      </c>
      <c r="Z37" s="1">
        <v>1</v>
      </c>
      <c r="AA37" s="22">
        <f t="shared" si="9"/>
        <v>9</v>
      </c>
      <c r="AB37" s="1">
        <f t="shared" si="10"/>
        <v>5</v>
      </c>
      <c r="AC37" s="1">
        <f t="shared" si="11"/>
        <v>4</v>
      </c>
      <c r="AD37" s="22">
        <f t="shared" si="12"/>
        <v>18</v>
      </c>
      <c r="AE37" s="22">
        <f t="shared" si="13"/>
        <v>72</v>
      </c>
      <c r="AF37" t="str">
        <f t="shared" si="14"/>
        <v>Nivel de Autoestima Medio Alto</v>
      </c>
      <c r="AG37" s="1">
        <f t="shared" si="6"/>
        <v>3</v>
      </c>
    </row>
    <row r="38" spans="1:33" x14ac:dyDescent="0.25">
      <c r="A38" t="s">
        <v>52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1</v>
      </c>
      <c r="AA38" s="22">
        <f t="shared" si="9"/>
        <v>1</v>
      </c>
      <c r="AB38" s="1">
        <f t="shared" si="10"/>
        <v>1</v>
      </c>
      <c r="AC38" s="1">
        <f t="shared" si="11"/>
        <v>0</v>
      </c>
      <c r="AD38" s="22">
        <f t="shared" si="12"/>
        <v>2</v>
      </c>
      <c r="AE38" s="22">
        <f t="shared" si="13"/>
        <v>8</v>
      </c>
      <c r="AF38" t="str">
        <f t="shared" si="14"/>
        <v>Nivel de Autoestima Bajo</v>
      </c>
      <c r="AG38" s="1">
        <f t="shared" si="6"/>
        <v>1</v>
      </c>
    </row>
    <row r="39" spans="1:33" x14ac:dyDescent="0.25">
      <c r="A39" t="s">
        <v>53</v>
      </c>
      <c r="B39" s="1">
        <v>1</v>
      </c>
      <c r="C39" s="1">
        <v>1</v>
      </c>
      <c r="D39" s="1">
        <v>0</v>
      </c>
      <c r="E39" s="1">
        <v>1</v>
      </c>
      <c r="F39" s="1">
        <v>1</v>
      </c>
      <c r="G39" s="1">
        <v>1</v>
      </c>
      <c r="H39" s="1">
        <v>0</v>
      </c>
      <c r="I39" s="1">
        <v>1</v>
      </c>
      <c r="J39" s="1">
        <v>1</v>
      </c>
      <c r="K39" s="1">
        <v>0</v>
      </c>
      <c r="L39" s="1">
        <v>1</v>
      </c>
      <c r="M39" s="1">
        <v>1</v>
      </c>
      <c r="N39" s="1">
        <v>0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0</v>
      </c>
      <c r="Y39" s="1">
        <v>1</v>
      </c>
      <c r="Z39" s="1">
        <v>0</v>
      </c>
      <c r="AA39" s="22">
        <f t="shared" si="9"/>
        <v>7</v>
      </c>
      <c r="AB39" s="1">
        <f t="shared" si="10"/>
        <v>6</v>
      </c>
      <c r="AC39" s="1">
        <f t="shared" si="11"/>
        <v>6</v>
      </c>
      <c r="AD39" s="22">
        <f t="shared" si="12"/>
        <v>19</v>
      </c>
      <c r="AE39" s="22">
        <f t="shared" si="13"/>
        <v>76</v>
      </c>
      <c r="AF39" t="str">
        <f t="shared" si="14"/>
        <v>Nivel de Autoestima Alto</v>
      </c>
      <c r="AG39" s="1">
        <f t="shared" si="6"/>
        <v>4</v>
      </c>
    </row>
    <row r="40" spans="1:33" x14ac:dyDescent="0.25">
      <c r="A40" t="s">
        <v>54</v>
      </c>
      <c r="B40" s="1">
        <v>1</v>
      </c>
      <c r="C40" s="1">
        <v>1</v>
      </c>
      <c r="D40" s="1">
        <v>0</v>
      </c>
      <c r="E40" s="1">
        <v>0</v>
      </c>
      <c r="F40" s="1">
        <v>1</v>
      </c>
      <c r="G40" s="1">
        <v>1</v>
      </c>
      <c r="H40" s="1">
        <v>0</v>
      </c>
      <c r="I40" s="1">
        <v>1</v>
      </c>
      <c r="J40" s="1">
        <v>1</v>
      </c>
      <c r="K40" s="1">
        <v>0</v>
      </c>
      <c r="L40" s="1">
        <v>1</v>
      </c>
      <c r="M40" s="1">
        <v>0</v>
      </c>
      <c r="N40" s="1">
        <v>0</v>
      </c>
      <c r="O40" s="1">
        <v>1</v>
      </c>
      <c r="P40" s="1">
        <v>1</v>
      </c>
      <c r="Q40" s="1">
        <v>0</v>
      </c>
      <c r="R40" s="1">
        <v>1</v>
      </c>
      <c r="S40" s="1">
        <v>1</v>
      </c>
      <c r="T40" s="1">
        <v>0</v>
      </c>
      <c r="U40" s="1">
        <v>1</v>
      </c>
      <c r="V40" s="1">
        <v>1</v>
      </c>
      <c r="W40" s="1">
        <v>0</v>
      </c>
      <c r="X40" s="1">
        <v>0</v>
      </c>
      <c r="Y40" s="1">
        <v>1</v>
      </c>
      <c r="Z40" s="1">
        <v>0</v>
      </c>
      <c r="AA40" s="22">
        <f t="shared" si="9"/>
        <v>4</v>
      </c>
      <c r="AB40" s="1">
        <f t="shared" si="10"/>
        <v>6</v>
      </c>
      <c r="AC40" s="1">
        <f t="shared" si="11"/>
        <v>4</v>
      </c>
      <c r="AD40" s="22">
        <f t="shared" si="12"/>
        <v>14</v>
      </c>
      <c r="AE40" s="22">
        <f t="shared" si="13"/>
        <v>56</v>
      </c>
      <c r="AF40" t="str">
        <f t="shared" si="14"/>
        <v>Nivel de Autoestima Medio Alto</v>
      </c>
      <c r="AG40" s="1">
        <f t="shared" si="6"/>
        <v>3</v>
      </c>
    </row>
    <row r="41" spans="1:33" x14ac:dyDescent="0.25">
      <c r="A41" t="s">
        <v>55</v>
      </c>
      <c r="B41" s="1">
        <v>1</v>
      </c>
      <c r="C41" s="1">
        <v>1</v>
      </c>
      <c r="D41" s="1">
        <v>1</v>
      </c>
      <c r="E41" s="1">
        <v>1</v>
      </c>
      <c r="F41" s="1">
        <v>0</v>
      </c>
      <c r="G41" s="1">
        <v>1</v>
      </c>
      <c r="H41" s="1">
        <v>0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0</v>
      </c>
      <c r="O41" s="1">
        <v>0</v>
      </c>
      <c r="P41" s="1">
        <v>1</v>
      </c>
      <c r="Q41" s="1">
        <v>1</v>
      </c>
      <c r="R41" s="1">
        <v>1</v>
      </c>
      <c r="S41" s="1">
        <v>1</v>
      </c>
      <c r="T41" s="1">
        <v>0</v>
      </c>
      <c r="U41" s="1">
        <v>1</v>
      </c>
      <c r="V41" s="1">
        <v>1</v>
      </c>
      <c r="W41" s="1">
        <v>0</v>
      </c>
      <c r="X41" s="1">
        <v>0</v>
      </c>
      <c r="Y41" s="1">
        <v>0</v>
      </c>
      <c r="Z41" s="1">
        <v>1</v>
      </c>
      <c r="AA41" s="22">
        <f t="shared" si="9"/>
        <v>8</v>
      </c>
      <c r="AB41" s="1">
        <f t="shared" si="10"/>
        <v>4</v>
      </c>
      <c r="AC41" s="1">
        <f t="shared" si="11"/>
        <v>5</v>
      </c>
      <c r="AD41" s="22">
        <f t="shared" si="12"/>
        <v>17</v>
      </c>
      <c r="AE41" s="22">
        <f t="shared" si="13"/>
        <v>68</v>
      </c>
      <c r="AF41" t="str">
        <f t="shared" si="14"/>
        <v>Nivel de Autoestima Medio Alto</v>
      </c>
      <c r="AG41" s="1">
        <f t="shared" si="6"/>
        <v>3</v>
      </c>
    </row>
    <row r="42" spans="1:33" x14ac:dyDescent="0.25">
      <c r="A42" t="s">
        <v>56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0</v>
      </c>
      <c r="J42" s="1">
        <v>1</v>
      </c>
      <c r="K42" s="1">
        <v>1</v>
      </c>
      <c r="L42" s="1">
        <v>1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1</v>
      </c>
      <c r="S42" s="1">
        <v>0</v>
      </c>
      <c r="T42" s="1">
        <v>0</v>
      </c>
      <c r="U42" s="1">
        <v>1</v>
      </c>
      <c r="V42" s="1">
        <v>1</v>
      </c>
      <c r="W42" s="1">
        <v>1</v>
      </c>
      <c r="X42" s="1">
        <v>0</v>
      </c>
      <c r="Y42" s="1">
        <v>0</v>
      </c>
      <c r="Z42" s="1">
        <v>0</v>
      </c>
      <c r="AA42" s="22">
        <f t="shared" si="9"/>
        <v>6</v>
      </c>
      <c r="AB42" s="1">
        <f t="shared" si="10"/>
        <v>4</v>
      </c>
      <c r="AC42" s="1">
        <f t="shared" si="11"/>
        <v>5</v>
      </c>
      <c r="AD42" s="22">
        <f t="shared" si="12"/>
        <v>15</v>
      </c>
      <c r="AE42" s="22">
        <f t="shared" si="13"/>
        <v>60</v>
      </c>
      <c r="AF42" t="str">
        <f t="shared" si="14"/>
        <v>Nivel de Autoestima Medio Alto</v>
      </c>
      <c r="AG42" s="1">
        <f t="shared" si="6"/>
        <v>3</v>
      </c>
    </row>
    <row r="43" spans="1:33" x14ac:dyDescent="0.25">
      <c r="A43" t="s">
        <v>57</v>
      </c>
      <c r="B43" s="1">
        <v>0</v>
      </c>
      <c r="C43" s="1">
        <v>0</v>
      </c>
      <c r="D43" s="1">
        <v>0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1</v>
      </c>
      <c r="V43" s="1">
        <v>1</v>
      </c>
      <c r="W43" s="1">
        <v>0</v>
      </c>
      <c r="X43" s="1">
        <v>0</v>
      </c>
      <c r="Y43" s="1">
        <v>0</v>
      </c>
      <c r="Z43" s="1">
        <v>0</v>
      </c>
      <c r="AA43" s="22">
        <f t="shared" si="9"/>
        <v>5</v>
      </c>
      <c r="AB43" s="1">
        <f t="shared" si="10"/>
        <v>4</v>
      </c>
      <c r="AC43" s="1">
        <f t="shared" si="11"/>
        <v>5</v>
      </c>
      <c r="AD43" s="22">
        <f t="shared" si="12"/>
        <v>14</v>
      </c>
      <c r="AE43" s="22">
        <f t="shared" si="13"/>
        <v>56</v>
      </c>
      <c r="AF43" t="str">
        <f t="shared" si="14"/>
        <v>Nivel de Autoestima Medio Alto</v>
      </c>
      <c r="AG43" s="1">
        <f t="shared" si="6"/>
        <v>3</v>
      </c>
    </row>
    <row r="44" spans="1:33" x14ac:dyDescent="0.25">
      <c r="A44" t="s">
        <v>58</v>
      </c>
      <c r="B44" s="1">
        <v>0</v>
      </c>
      <c r="C44" s="1">
        <v>0</v>
      </c>
      <c r="D44" s="1">
        <v>1</v>
      </c>
      <c r="E44" s="1">
        <v>1</v>
      </c>
      <c r="F44" s="1">
        <v>1</v>
      </c>
      <c r="G44" s="1">
        <v>1</v>
      </c>
      <c r="H44" s="1">
        <v>0</v>
      </c>
      <c r="I44" s="1">
        <v>1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1</v>
      </c>
      <c r="P44" s="1">
        <v>0</v>
      </c>
      <c r="Q44" s="1">
        <v>1</v>
      </c>
      <c r="R44" s="1">
        <v>0</v>
      </c>
      <c r="S44" s="1">
        <v>1</v>
      </c>
      <c r="T44" s="1">
        <v>1</v>
      </c>
      <c r="U44" s="1">
        <v>0</v>
      </c>
      <c r="V44" s="1">
        <v>0</v>
      </c>
      <c r="W44" s="1">
        <v>0</v>
      </c>
      <c r="X44" s="1">
        <v>1</v>
      </c>
      <c r="Y44" s="1">
        <v>1</v>
      </c>
      <c r="Z44" s="1">
        <v>1</v>
      </c>
      <c r="AA44" s="22">
        <f t="shared" si="9"/>
        <v>7</v>
      </c>
      <c r="AB44" s="1">
        <f t="shared" si="10"/>
        <v>3</v>
      </c>
      <c r="AC44" s="1">
        <f t="shared" si="11"/>
        <v>3</v>
      </c>
      <c r="AD44" s="22">
        <f t="shared" si="12"/>
        <v>13</v>
      </c>
      <c r="AE44" s="22">
        <f t="shared" si="13"/>
        <v>52</v>
      </c>
      <c r="AF44" t="str">
        <f t="shared" si="14"/>
        <v>Nivel de Autoestima Medio Alto</v>
      </c>
      <c r="AG44" s="1">
        <f t="shared" si="6"/>
        <v>3</v>
      </c>
    </row>
    <row r="45" spans="1:33" x14ac:dyDescent="0.25">
      <c r="A45" t="s">
        <v>59</v>
      </c>
      <c r="B45" s="1">
        <v>0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0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0</v>
      </c>
      <c r="Z45" s="1">
        <v>1</v>
      </c>
      <c r="AA45" s="22">
        <f t="shared" si="9"/>
        <v>10</v>
      </c>
      <c r="AB45" s="1">
        <f t="shared" si="10"/>
        <v>6</v>
      </c>
      <c r="AC45" s="1">
        <f t="shared" si="11"/>
        <v>6</v>
      </c>
      <c r="AD45" s="22">
        <f t="shared" si="12"/>
        <v>22</v>
      </c>
      <c r="AE45" s="22">
        <f t="shared" si="13"/>
        <v>88</v>
      </c>
      <c r="AF45" t="str">
        <f t="shared" si="14"/>
        <v>Nivel de Autoestima Alto</v>
      </c>
      <c r="AG45" s="1">
        <f t="shared" si="6"/>
        <v>4</v>
      </c>
    </row>
    <row r="46" spans="1:33" x14ac:dyDescent="0.25">
      <c r="A46" t="s">
        <v>60</v>
      </c>
      <c r="B46" s="1">
        <v>0</v>
      </c>
      <c r="C46" s="1">
        <v>1</v>
      </c>
      <c r="D46" s="1">
        <v>1</v>
      </c>
      <c r="E46" s="1">
        <v>1</v>
      </c>
      <c r="F46" s="1">
        <v>0</v>
      </c>
      <c r="G46" s="1">
        <v>1</v>
      </c>
      <c r="H46" s="1">
        <v>1</v>
      </c>
      <c r="I46" s="1">
        <v>0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0</v>
      </c>
      <c r="U46" s="1">
        <v>1</v>
      </c>
      <c r="V46" s="1">
        <v>1</v>
      </c>
      <c r="W46" s="1">
        <v>0</v>
      </c>
      <c r="X46" s="1">
        <v>1</v>
      </c>
      <c r="Y46" s="1">
        <v>0</v>
      </c>
      <c r="Z46" s="1">
        <v>0</v>
      </c>
      <c r="AA46" s="22">
        <f t="shared" si="9"/>
        <v>9</v>
      </c>
      <c r="AB46" s="1">
        <f t="shared" si="10"/>
        <v>4</v>
      </c>
      <c r="AC46" s="1">
        <f t="shared" si="11"/>
        <v>5</v>
      </c>
      <c r="AD46" s="22">
        <f t="shared" si="12"/>
        <v>18</v>
      </c>
      <c r="AE46" s="22">
        <f t="shared" si="13"/>
        <v>72</v>
      </c>
      <c r="AF46" t="str">
        <f t="shared" si="14"/>
        <v>Nivel de Autoestima Medio Alto</v>
      </c>
      <c r="AG46" s="1">
        <f t="shared" si="6"/>
        <v>3</v>
      </c>
    </row>
    <row r="47" spans="1:33" x14ac:dyDescent="0.25">
      <c r="A47" t="s">
        <v>61</v>
      </c>
      <c r="B47" s="1">
        <v>1</v>
      </c>
      <c r="C47" s="1">
        <v>0</v>
      </c>
      <c r="D47" s="1">
        <v>1</v>
      </c>
      <c r="E47" s="1">
        <v>1</v>
      </c>
      <c r="F47" s="1">
        <v>1</v>
      </c>
      <c r="G47" s="1">
        <v>0</v>
      </c>
      <c r="H47" s="1">
        <v>1</v>
      </c>
      <c r="I47" s="1">
        <v>1</v>
      </c>
      <c r="J47" s="1">
        <v>1</v>
      </c>
      <c r="K47" s="1">
        <v>1</v>
      </c>
      <c r="L47" s="1">
        <v>0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0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  <c r="Z47" s="1">
        <v>1</v>
      </c>
      <c r="AA47" s="22">
        <f t="shared" si="9"/>
        <v>13</v>
      </c>
      <c r="AB47" s="1">
        <f t="shared" si="10"/>
        <v>4</v>
      </c>
      <c r="AC47" s="1">
        <f t="shared" si="11"/>
        <v>4</v>
      </c>
      <c r="AD47" s="22">
        <f t="shared" si="12"/>
        <v>21</v>
      </c>
      <c r="AE47" s="22">
        <f t="shared" si="13"/>
        <v>84</v>
      </c>
      <c r="AF47" t="str">
        <f t="shared" si="14"/>
        <v>Nivel de Autoestima Alto</v>
      </c>
      <c r="AG47" s="1">
        <f t="shared" si="6"/>
        <v>4</v>
      </c>
    </row>
    <row r="48" spans="1:33" x14ac:dyDescent="0.25">
      <c r="A48" t="s">
        <v>62</v>
      </c>
      <c r="B48" s="1">
        <v>1</v>
      </c>
      <c r="C48" s="1">
        <v>1</v>
      </c>
      <c r="D48" s="1">
        <v>0</v>
      </c>
      <c r="E48" s="1">
        <v>0</v>
      </c>
      <c r="F48" s="1">
        <v>1</v>
      </c>
      <c r="G48" s="1">
        <v>1</v>
      </c>
      <c r="H48" s="1">
        <v>0</v>
      </c>
      <c r="I48" s="1">
        <v>0</v>
      </c>
      <c r="J48" s="1">
        <v>1</v>
      </c>
      <c r="K48" s="1">
        <v>1</v>
      </c>
      <c r="L48" s="1">
        <v>0</v>
      </c>
      <c r="M48" s="1">
        <v>1</v>
      </c>
      <c r="N48" s="1">
        <v>1</v>
      </c>
      <c r="O48" s="1">
        <v>1</v>
      </c>
      <c r="P48" s="1">
        <v>1</v>
      </c>
      <c r="Q48" s="1">
        <v>0</v>
      </c>
      <c r="R48" s="1">
        <v>0</v>
      </c>
      <c r="S48" s="1">
        <v>1</v>
      </c>
      <c r="T48" s="1">
        <v>1</v>
      </c>
      <c r="U48" s="1">
        <v>1</v>
      </c>
      <c r="V48" s="1">
        <v>0</v>
      </c>
      <c r="W48" s="1">
        <v>1</v>
      </c>
      <c r="X48" s="1">
        <v>1</v>
      </c>
      <c r="Y48" s="1">
        <v>1</v>
      </c>
      <c r="Z48" s="1">
        <v>1</v>
      </c>
      <c r="AA48" s="22">
        <f t="shared" si="9"/>
        <v>10</v>
      </c>
      <c r="AB48" s="1">
        <f t="shared" si="10"/>
        <v>3</v>
      </c>
      <c r="AC48" s="1">
        <f t="shared" si="11"/>
        <v>4</v>
      </c>
      <c r="AD48" s="22">
        <f t="shared" si="12"/>
        <v>17</v>
      </c>
      <c r="AE48" s="22">
        <f t="shared" si="13"/>
        <v>68</v>
      </c>
      <c r="AF48" t="str">
        <f t="shared" si="14"/>
        <v>Nivel de Autoestima Medio Alto</v>
      </c>
      <c r="AG48" s="1">
        <f t="shared" si="6"/>
        <v>3</v>
      </c>
    </row>
    <row r="49" spans="1:33" x14ac:dyDescent="0.25">
      <c r="A49" t="s">
        <v>63</v>
      </c>
      <c r="B49" s="1">
        <v>1</v>
      </c>
      <c r="C49" s="1">
        <v>1</v>
      </c>
      <c r="D49" s="1">
        <v>1</v>
      </c>
      <c r="E49" s="1">
        <v>0</v>
      </c>
      <c r="F49" s="1">
        <v>1</v>
      </c>
      <c r="G49" s="1">
        <v>0</v>
      </c>
      <c r="H49" s="1">
        <v>0</v>
      </c>
      <c r="I49" s="1">
        <v>1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1</v>
      </c>
      <c r="P49" s="1">
        <v>0</v>
      </c>
      <c r="Q49" s="1">
        <v>1</v>
      </c>
      <c r="R49" s="1">
        <v>1</v>
      </c>
      <c r="S49" s="1">
        <v>1</v>
      </c>
      <c r="T49" s="1">
        <v>1</v>
      </c>
      <c r="U49" s="1">
        <v>0</v>
      </c>
      <c r="V49" s="1">
        <v>1</v>
      </c>
      <c r="W49" s="1">
        <v>1</v>
      </c>
      <c r="X49" s="1">
        <v>1</v>
      </c>
      <c r="Y49" s="1">
        <v>1</v>
      </c>
      <c r="Z49" s="1">
        <v>1</v>
      </c>
      <c r="AA49" s="22">
        <f t="shared" si="9"/>
        <v>7</v>
      </c>
      <c r="AB49" s="1">
        <f t="shared" si="10"/>
        <v>6</v>
      </c>
      <c r="AC49" s="1">
        <f t="shared" si="11"/>
        <v>3</v>
      </c>
      <c r="AD49" s="22">
        <f t="shared" si="12"/>
        <v>16</v>
      </c>
      <c r="AE49" s="22">
        <f t="shared" si="13"/>
        <v>64</v>
      </c>
      <c r="AF49" t="str">
        <f t="shared" si="14"/>
        <v>Nivel de Autoestima Medio Alto</v>
      </c>
      <c r="AG49" s="1">
        <f t="shared" si="6"/>
        <v>3</v>
      </c>
    </row>
    <row r="50" spans="1:33" x14ac:dyDescent="0.25">
      <c r="A50" t="s">
        <v>64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1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  <c r="R50" s="1">
        <v>1</v>
      </c>
      <c r="S50" s="1">
        <v>1</v>
      </c>
      <c r="T50" s="1">
        <v>0</v>
      </c>
      <c r="U50" s="1">
        <v>1</v>
      </c>
      <c r="V50" s="1">
        <v>0</v>
      </c>
      <c r="W50" s="1">
        <v>0</v>
      </c>
      <c r="X50" s="1">
        <v>0</v>
      </c>
      <c r="Y50" s="1">
        <v>1</v>
      </c>
      <c r="Z50" s="1">
        <v>0</v>
      </c>
      <c r="AA50" s="22">
        <f t="shared" si="9"/>
        <v>5</v>
      </c>
      <c r="AB50" s="1">
        <f t="shared" si="10"/>
        <v>1</v>
      </c>
      <c r="AC50" s="1">
        <f t="shared" si="11"/>
        <v>2</v>
      </c>
      <c r="AD50" s="22">
        <f t="shared" si="12"/>
        <v>8</v>
      </c>
      <c r="AE50" s="22">
        <f t="shared" si="13"/>
        <v>32</v>
      </c>
      <c r="AF50" t="str">
        <f t="shared" si="14"/>
        <v>Nivel de Autoestima Medio Bajo</v>
      </c>
      <c r="AG50" s="1">
        <f t="shared" si="6"/>
        <v>2</v>
      </c>
    </row>
    <row r="51" spans="1:33" x14ac:dyDescent="0.25">
      <c r="A51" t="s">
        <v>65</v>
      </c>
      <c r="B51" s="1">
        <v>1</v>
      </c>
      <c r="C51" s="1">
        <v>0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1</v>
      </c>
      <c r="AA51" s="22">
        <f t="shared" si="9"/>
        <v>3</v>
      </c>
      <c r="AB51" s="1">
        <f t="shared" si="10"/>
        <v>1</v>
      </c>
      <c r="AC51" s="1">
        <f t="shared" si="11"/>
        <v>0</v>
      </c>
      <c r="AD51" s="22">
        <f t="shared" si="12"/>
        <v>4</v>
      </c>
      <c r="AE51" s="22">
        <f t="shared" si="13"/>
        <v>16</v>
      </c>
      <c r="AF51" t="str">
        <f t="shared" si="14"/>
        <v>Nivel de Autoestima Bajo</v>
      </c>
      <c r="AG51" s="1">
        <f t="shared" si="6"/>
        <v>1</v>
      </c>
    </row>
    <row r="52" spans="1:33" x14ac:dyDescent="0.25">
      <c r="A52" t="s">
        <v>66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0</v>
      </c>
      <c r="H52" s="1">
        <v>1</v>
      </c>
      <c r="I52" s="1">
        <v>1</v>
      </c>
      <c r="J52" s="1">
        <v>0</v>
      </c>
      <c r="K52" s="1">
        <v>1</v>
      </c>
      <c r="L52" s="1">
        <v>1</v>
      </c>
      <c r="M52" s="1">
        <v>1</v>
      </c>
      <c r="N52" s="1">
        <v>1</v>
      </c>
      <c r="O52" s="1">
        <v>0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0</v>
      </c>
      <c r="W52" s="1">
        <v>0</v>
      </c>
      <c r="X52" s="1">
        <v>1</v>
      </c>
      <c r="Y52" s="1">
        <v>1</v>
      </c>
      <c r="Z52" s="1">
        <v>1</v>
      </c>
      <c r="AA52" s="22">
        <f t="shared" si="9"/>
        <v>13</v>
      </c>
      <c r="AB52" s="1">
        <f t="shared" si="10"/>
        <v>4</v>
      </c>
      <c r="AC52" s="1">
        <f t="shared" si="11"/>
        <v>3</v>
      </c>
      <c r="AD52" s="22">
        <f t="shared" si="12"/>
        <v>20</v>
      </c>
      <c r="AE52" s="22">
        <f t="shared" si="13"/>
        <v>80</v>
      </c>
      <c r="AF52" t="str">
        <f t="shared" si="14"/>
        <v>Nivel de Autoestima Alto</v>
      </c>
      <c r="AG52" s="1">
        <f t="shared" si="6"/>
        <v>4</v>
      </c>
    </row>
    <row r="53" spans="1:33" x14ac:dyDescent="0.25">
      <c r="A53" t="s">
        <v>67</v>
      </c>
      <c r="B53" s="1">
        <v>1</v>
      </c>
      <c r="C53" s="1">
        <v>1</v>
      </c>
      <c r="D53" s="1">
        <v>1</v>
      </c>
      <c r="E53" s="1">
        <v>0</v>
      </c>
      <c r="F53" s="1">
        <v>1</v>
      </c>
      <c r="G53" s="1">
        <v>0</v>
      </c>
      <c r="H53" s="1">
        <v>1</v>
      </c>
      <c r="I53" s="1">
        <v>1</v>
      </c>
      <c r="J53" s="1">
        <v>1</v>
      </c>
      <c r="K53" s="1">
        <v>0</v>
      </c>
      <c r="L53" s="1">
        <v>0</v>
      </c>
      <c r="M53" s="1">
        <v>1</v>
      </c>
      <c r="N53" s="1">
        <v>1</v>
      </c>
      <c r="O53" s="1">
        <v>1</v>
      </c>
      <c r="P53" s="1">
        <v>0</v>
      </c>
      <c r="Q53" s="1">
        <v>1</v>
      </c>
      <c r="R53" s="1">
        <v>0</v>
      </c>
      <c r="S53" s="1">
        <v>1</v>
      </c>
      <c r="T53" s="1">
        <v>0</v>
      </c>
      <c r="U53" s="1">
        <v>1</v>
      </c>
      <c r="V53" s="1">
        <v>0</v>
      </c>
      <c r="W53" s="1">
        <v>1</v>
      </c>
      <c r="X53" s="1">
        <v>0</v>
      </c>
      <c r="Y53" s="1">
        <v>0</v>
      </c>
      <c r="Z53" s="1">
        <v>0</v>
      </c>
      <c r="AA53" s="22">
        <f t="shared" si="9"/>
        <v>6</v>
      </c>
      <c r="AB53" s="1">
        <f t="shared" si="10"/>
        <v>4</v>
      </c>
      <c r="AC53" s="1">
        <f t="shared" si="11"/>
        <v>4</v>
      </c>
      <c r="AD53" s="22">
        <f t="shared" si="12"/>
        <v>14</v>
      </c>
      <c r="AE53" s="22">
        <f t="shared" si="13"/>
        <v>56</v>
      </c>
      <c r="AF53" t="str">
        <f t="shared" si="14"/>
        <v>Nivel de Autoestima Medio Alto</v>
      </c>
      <c r="AG53" s="1">
        <f t="shared" si="6"/>
        <v>3</v>
      </c>
    </row>
    <row r="54" spans="1:33" x14ac:dyDescent="0.25">
      <c r="A54" t="s">
        <v>68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">
        <v>1</v>
      </c>
      <c r="H54" s="1">
        <v>0</v>
      </c>
      <c r="I54" s="1">
        <v>0</v>
      </c>
      <c r="J54" s="1">
        <v>1</v>
      </c>
      <c r="K54" s="1">
        <v>1</v>
      </c>
      <c r="L54" s="1">
        <v>0</v>
      </c>
      <c r="M54" s="1">
        <v>1</v>
      </c>
      <c r="N54" s="1">
        <v>1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1</v>
      </c>
      <c r="Y54" s="1">
        <v>1</v>
      </c>
      <c r="Z54" s="1">
        <v>0</v>
      </c>
      <c r="AA54" s="22">
        <f t="shared" si="9"/>
        <v>6</v>
      </c>
      <c r="AB54" s="1">
        <f t="shared" si="10"/>
        <v>1</v>
      </c>
      <c r="AC54" s="1">
        <f t="shared" si="11"/>
        <v>3</v>
      </c>
      <c r="AD54" s="22">
        <f t="shared" si="12"/>
        <v>10</v>
      </c>
      <c r="AE54" s="22">
        <f t="shared" si="13"/>
        <v>40</v>
      </c>
      <c r="AF54" t="str">
        <f t="shared" si="14"/>
        <v>Nivel de Autoestima Medio Bajo</v>
      </c>
      <c r="AG54" s="1">
        <f t="shared" si="6"/>
        <v>2</v>
      </c>
    </row>
    <row r="55" spans="1:33" x14ac:dyDescent="0.25">
      <c r="A55" t="s">
        <v>69</v>
      </c>
      <c r="B55" s="1">
        <v>1</v>
      </c>
      <c r="C55" s="1">
        <v>1</v>
      </c>
      <c r="D55" s="1">
        <v>0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1</v>
      </c>
      <c r="X55" s="1">
        <v>1</v>
      </c>
      <c r="Y55" s="1">
        <v>1</v>
      </c>
      <c r="Z55" s="1">
        <v>0</v>
      </c>
      <c r="AA55" s="22">
        <f t="shared" si="9"/>
        <v>10</v>
      </c>
      <c r="AB55" s="1">
        <f t="shared" si="10"/>
        <v>6</v>
      </c>
      <c r="AC55" s="1">
        <f t="shared" si="11"/>
        <v>6</v>
      </c>
      <c r="AD55" s="22">
        <f t="shared" si="12"/>
        <v>22</v>
      </c>
      <c r="AE55" s="22">
        <f t="shared" si="13"/>
        <v>88</v>
      </c>
      <c r="AF55" t="str">
        <f t="shared" si="14"/>
        <v>Nivel de Autoestima Alto</v>
      </c>
      <c r="AG55" s="1">
        <f t="shared" si="6"/>
        <v>4</v>
      </c>
    </row>
    <row r="56" spans="1:33" x14ac:dyDescent="0.25">
      <c r="A56" t="s">
        <v>70</v>
      </c>
      <c r="B56" s="1">
        <v>1</v>
      </c>
      <c r="C56" s="1">
        <v>0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0</v>
      </c>
      <c r="M56" s="1">
        <v>1</v>
      </c>
      <c r="N56" s="1">
        <v>1</v>
      </c>
      <c r="O56" s="1">
        <v>0</v>
      </c>
      <c r="P56" s="1">
        <v>0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22">
        <f t="shared" si="9"/>
        <v>9</v>
      </c>
      <c r="AB56" s="1">
        <f t="shared" si="10"/>
        <v>3</v>
      </c>
      <c r="AC56" s="1">
        <f t="shared" si="11"/>
        <v>5</v>
      </c>
      <c r="AD56" s="22">
        <f t="shared" si="12"/>
        <v>17</v>
      </c>
      <c r="AE56" s="22">
        <f t="shared" si="13"/>
        <v>68</v>
      </c>
      <c r="AF56" t="str">
        <f t="shared" si="14"/>
        <v>Nivel de Autoestima Medio Alto</v>
      </c>
      <c r="AG56" s="1">
        <f t="shared" si="6"/>
        <v>3</v>
      </c>
    </row>
    <row r="57" spans="1:33" x14ac:dyDescent="0.25">
      <c r="A57" t="s">
        <v>71</v>
      </c>
      <c r="B57" s="1">
        <v>1</v>
      </c>
      <c r="C57" s="1">
        <v>1</v>
      </c>
      <c r="D57" s="1">
        <v>0</v>
      </c>
      <c r="E57" s="1">
        <v>0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1</v>
      </c>
      <c r="P57" s="1">
        <v>0</v>
      </c>
      <c r="Q57" s="1">
        <v>1</v>
      </c>
      <c r="R57" s="1">
        <v>1</v>
      </c>
      <c r="S57" s="1">
        <v>0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22">
        <f t="shared" si="9"/>
        <v>7</v>
      </c>
      <c r="AB57" s="1">
        <f t="shared" si="10"/>
        <v>6</v>
      </c>
      <c r="AC57" s="1">
        <f t="shared" si="11"/>
        <v>6</v>
      </c>
      <c r="AD57" s="22">
        <f t="shared" si="12"/>
        <v>19</v>
      </c>
      <c r="AE57" s="22">
        <f t="shared" si="13"/>
        <v>76</v>
      </c>
      <c r="AF57" t="str">
        <f t="shared" si="14"/>
        <v>Nivel de Autoestima Alto</v>
      </c>
      <c r="AG57" s="1">
        <f t="shared" si="6"/>
        <v>4</v>
      </c>
    </row>
    <row r="58" spans="1:33" x14ac:dyDescent="0.25">
      <c r="A58" t="s">
        <v>72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0</v>
      </c>
      <c r="I58" s="1">
        <v>0</v>
      </c>
      <c r="J58" s="1">
        <v>1</v>
      </c>
      <c r="K58" s="1">
        <v>1</v>
      </c>
      <c r="L58" s="1">
        <v>1</v>
      </c>
      <c r="M58" s="1">
        <v>0</v>
      </c>
      <c r="N58" s="1">
        <v>1</v>
      </c>
      <c r="O58" s="1">
        <v>1</v>
      </c>
      <c r="P58" s="1">
        <v>0</v>
      </c>
      <c r="Q58" s="1">
        <v>0</v>
      </c>
      <c r="R58" s="1">
        <v>1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1</v>
      </c>
      <c r="Z58" s="1">
        <v>0</v>
      </c>
      <c r="AA58" s="22">
        <f t="shared" si="9"/>
        <v>6</v>
      </c>
      <c r="AB58" s="1">
        <f t="shared" si="10"/>
        <v>4</v>
      </c>
      <c r="AC58" s="1">
        <f t="shared" si="11"/>
        <v>3</v>
      </c>
      <c r="AD58" s="22">
        <f t="shared" si="12"/>
        <v>13</v>
      </c>
      <c r="AE58" s="22">
        <f t="shared" si="13"/>
        <v>52</v>
      </c>
      <c r="AF58" t="str">
        <f t="shared" si="14"/>
        <v>Nivel de Autoestima Medio Alto</v>
      </c>
      <c r="AG58" s="1">
        <f t="shared" si="6"/>
        <v>3</v>
      </c>
    </row>
    <row r="59" spans="1:33" x14ac:dyDescent="0.25">
      <c r="A59" t="s">
        <v>73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1</v>
      </c>
      <c r="M59" s="1">
        <v>0</v>
      </c>
      <c r="N59" s="1">
        <v>0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0</v>
      </c>
      <c r="Y59" s="1">
        <v>1</v>
      </c>
      <c r="Z59" s="1">
        <v>1</v>
      </c>
      <c r="AA59" s="22">
        <f t="shared" si="9"/>
        <v>9</v>
      </c>
      <c r="AB59" s="1">
        <f t="shared" si="10"/>
        <v>6</v>
      </c>
      <c r="AC59" s="1">
        <f t="shared" si="11"/>
        <v>6</v>
      </c>
      <c r="AD59" s="22">
        <f t="shared" si="12"/>
        <v>21</v>
      </c>
      <c r="AE59" s="22">
        <f t="shared" si="13"/>
        <v>84</v>
      </c>
      <c r="AF59" t="str">
        <f t="shared" si="14"/>
        <v>Nivel de Autoestima Alto</v>
      </c>
      <c r="AG59" s="1">
        <f t="shared" si="6"/>
        <v>4</v>
      </c>
    </row>
    <row r="60" spans="1:33" x14ac:dyDescent="0.25">
      <c r="A60" t="s">
        <v>74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0</v>
      </c>
      <c r="I60" s="1">
        <v>1</v>
      </c>
      <c r="J60" s="1">
        <v>1</v>
      </c>
      <c r="K60" s="1">
        <v>0</v>
      </c>
      <c r="L60" s="1">
        <v>0</v>
      </c>
      <c r="M60" s="1">
        <v>1</v>
      </c>
      <c r="N60" s="1">
        <v>1</v>
      </c>
      <c r="O60" s="1">
        <v>0</v>
      </c>
      <c r="P60" s="1">
        <v>1</v>
      </c>
      <c r="Q60" s="1">
        <v>1</v>
      </c>
      <c r="R60" s="1">
        <v>1</v>
      </c>
      <c r="S60" s="1">
        <v>1</v>
      </c>
      <c r="T60" s="1">
        <v>0</v>
      </c>
      <c r="U60" s="1">
        <v>1</v>
      </c>
      <c r="V60" s="1">
        <v>1</v>
      </c>
      <c r="W60" s="1">
        <v>1</v>
      </c>
      <c r="X60" s="1">
        <v>0</v>
      </c>
      <c r="Y60" s="1">
        <v>0</v>
      </c>
      <c r="Z60" s="1">
        <v>0</v>
      </c>
      <c r="AA60" s="22">
        <f t="shared" si="9"/>
        <v>7</v>
      </c>
      <c r="AB60" s="1">
        <f t="shared" si="10"/>
        <v>5</v>
      </c>
      <c r="AC60" s="1">
        <f t="shared" si="11"/>
        <v>5</v>
      </c>
      <c r="AD60" s="22">
        <f t="shared" si="12"/>
        <v>17</v>
      </c>
      <c r="AE60" s="22">
        <f t="shared" si="13"/>
        <v>68</v>
      </c>
      <c r="AF60" t="str">
        <f t="shared" si="14"/>
        <v>Nivel de Autoestima Medio Alto</v>
      </c>
      <c r="AG60" s="1">
        <f t="shared" si="6"/>
        <v>3</v>
      </c>
    </row>
    <row r="61" spans="1:33" x14ac:dyDescent="0.25">
      <c r="A61" t="s">
        <v>75</v>
      </c>
      <c r="B61" s="1">
        <v>1</v>
      </c>
      <c r="C61" s="1">
        <v>1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1</v>
      </c>
      <c r="J61" s="1">
        <v>1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1</v>
      </c>
      <c r="R61" s="1">
        <v>1</v>
      </c>
      <c r="S61" s="1">
        <v>0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1</v>
      </c>
      <c r="Z61" s="1">
        <v>1</v>
      </c>
      <c r="AA61" s="22">
        <f t="shared" si="9"/>
        <v>7</v>
      </c>
      <c r="AB61" s="1">
        <f t="shared" si="10"/>
        <v>5</v>
      </c>
      <c r="AC61" s="1">
        <f t="shared" si="11"/>
        <v>4</v>
      </c>
      <c r="AD61" s="22">
        <f t="shared" si="12"/>
        <v>16</v>
      </c>
      <c r="AE61" s="22">
        <f t="shared" si="13"/>
        <v>64</v>
      </c>
      <c r="AF61" t="str">
        <f t="shared" si="14"/>
        <v>Nivel de Autoestima Medio Alto</v>
      </c>
      <c r="AG61" s="1">
        <f t="shared" si="6"/>
        <v>3</v>
      </c>
    </row>
    <row r="62" spans="1:33" x14ac:dyDescent="0.25">
      <c r="A62" t="s">
        <v>76</v>
      </c>
      <c r="B62" s="1">
        <v>1</v>
      </c>
      <c r="C62" s="1">
        <v>1</v>
      </c>
      <c r="D62" s="1">
        <v>0</v>
      </c>
      <c r="E62" s="1">
        <v>1</v>
      </c>
      <c r="F62" s="1">
        <v>1</v>
      </c>
      <c r="G62" s="1">
        <v>1</v>
      </c>
      <c r="H62" s="1">
        <v>1</v>
      </c>
      <c r="I62" s="1">
        <v>0</v>
      </c>
      <c r="J62" s="1">
        <v>1</v>
      </c>
      <c r="K62" s="1">
        <v>0</v>
      </c>
      <c r="L62" s="1">
        <v>0</v>
      </c>
      <c r="M62" s="1">
        <v>1</v>
      </c>
      <c r="N62" s="1">
        <v>0</v>
      </c>
      <c r="O62" s="1">
        <v>1</v>
      </c>
      <c r="P62" s="1">
        <v>0</v>
      </c>
      <c r="Q62" s="1">
        <v>1</v>
      </c>
      <c r="R62" s="1">
        <v>1</v>
      </c>
      <c r="S62" s="1">
        <v>1</v>
      </c>
      <c r="T62" s="1">
        <v>0</v>
      </c>
      <c r="U62" s="1">
        <v>1</v>
      </c>
      <c r="V62" s="1">
        <v>1</v>
      </c>
      <c r="W62" s="1">
        <v>0</v>
      </c>
      <c r="X62" s="1">
        <v>1</v>
      </c>
      <c r="Y62" s="1">
        <v>0</v>
      </c>
      <c r="Z62" s="1">
        <v>0</v>
      </c>
      <c r="AA62" s="22">
        <f t="shared" si="9"/>
        <v>6</v>
      </c>
      <c r="AB62" s="1">
        <f t="shared" si="10"/>
        <v>5</v>
      </c>
      <c r="AC62" s="1">
        <f t="shared" si="11"/>
        <v>4</v>
      </c>
      <c r="AD62" s="22">
        <f t="shared" si="12"/>
        <v>15</v>
      </c>
      <c r="AE62" s="22">
        <f t="shared" si="13"/>
        <v>60</v>
      </c>
      <c r="AF62" t="str">
        <f t="shared" si="14"/>
        <v>Nivel de Autoestima Medio Alto</v>
      </c>
      <c r="AG62" s="1">
        <f t="shared" si="6"/>
        <v>3</v>
      </c>
    </row>
    <row r="63" spans="1:33" x14ac:dyDescent="0.25">
      <c r="A63" t="s">
        <v>77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0</v>
      </c>
      <c r="W63" s="1">
        <v>1</v>
      </c>
      <c r="X63" s="1">
        <v>1</v>
      </c>
      <c r="Y63" s="1">
        <v>1</v>
      </c>
      <c r="Z63" s="1">
        <v>0</v>
      </c>
      <c r="AA63" s="22">
        <f t="shared" si="9"/>
        <v>12</v>
      </c>
      <c r="AB63" s="1">
        <f t="shared" si="10"/>
        <v>5</v>
      </c>
      <c r="AC63" s="1">
        <f t="shared" si="11"/>
        <v>6</v>
      </c>
      <c r="AD63" s="22">
        <f t="shared" si="12"/>
        <v>23</v>
      </c>
      <c r="AE63" s="22">
        <f t="shared" si="13"/>
        <v>92</v>
      </c>
      <c r="AF63" t="str">
        <f t="shared" si="14"/>
        <v>Nivel de Autoestima Alto</v>
      </c>
      <c r="AG63" s="1">
        <f t="shared" si="6"/>
        <v>4</v>
      </c>
    </row>
    <row r="64" spans="1:33" x14ac:dyDescent="0.25">
      <c r="A64" t="s">
        <v>78</v>
      </c>
      <c r="B64" s="1">
        <v>0</v>
      </c>
      <c r="C64" s="1">
        <v>1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1</v>
      </c>
      <c r="J64" s="1">
        <v>1</v>
      </c>
      <c r="K64" s="1">
        <v>0</v>
      </c>
      <c r="L64" s="1">
        <v>1</v>
      </c>
      <c r="M64" s="1">
        <v>1</v>
      </c>
      <c r="N64" s="1">
        <v>1</v>
      </c>
      <c r="O64" s="1">
        <v>0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0</v>
      </c>
      <c r="X64" s="1">
        <v>1</v>
      </c>
      <c r="Y64" s="1">
        <v>1</v>
      </c>
      <c r="Z64" s="1">
        <v>1</v>
      </c>
      <c r="AA64" s="22">
        <f t="shared" si="9"/>
        <v>8</v>
      </c>
      <c r="AB64" s="1">
        <f t="shared" si="10"/>
        <v>4</v>
      </c>
      <c r="AC64" s="1">
        <f t="shared" si="11"/>
        <v>5</v>
      </c>
      <c r="AD64" s="22">
        <f t="shared" si="12"/>
        <v>17</v>
      </c>
      <c r="AE64" s="22">
        <f t="shared" si="13"/>
        <v>68</v>
      </c>
      <c r="AF64" t="str">
        <f t="shared" si="14"/>
        <v>Nivel de Autoestima Medio Alto</v>
      </c>
      <c r="AG64" s="1">
        <f t="shared" si="6"/>
        <v>3</v>
      </c>
    </row>
    <row r="65" spans="1:33" x14ac:dyDescent="0.25">
      <c r="A65" t="s">
        <v>79</v>
      </c>
      <c r="B65" s="1">
        <v>1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22">
        <f t="shared" si="9"/>
        <v>3</v>
      </c>
      <c r="AB65" s="1">
        <f t="shared" si="10"/>
        <v>0</v>
      </c>
      <c r="AC65" s="1">
        <f t="shared" si="11"/>
        <v>1</v>
      </c>
      <c r="AD65" s="22">
        <f t="shared" si="12"/>
        <v>4</v>
      </c>
      <c r="AE65" s="22">
        <f t="shared" si="13"/>
        <v>16</v>
      </c>
      <c r="AF65" t="str">
        <f t="shared" si="14"/>
        <v>Nivel de Autoestima Bajo</v>
      </c>
      <c r="AG65" s="1">
        <f t="shared" si="6"/>
        <v>1</v>
      </c>
    </row>
    <row r="66" spans="1:33" x14ac:dyDescent="0.25">
      <c r="A66" t="s">
        <v>80</v>
      </c>
      <c r="B66" s="1">
        <v>1</v>
      </c>
      <c r="C66" s="1">
        <v>1</v>
      </c>
      <c r="D66" s="1">
        <v>1</v>
      </c>
      <c r="E66" s="1">
        <v>1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1</v>
      </c>
      <c r="L66" s="1">
        <v>1</v>
      </c>
      <c r="M66" s="1">
        <v>1</v>
      </c>
      <c r="N66" s="1">
        <v>0</v>
      </c>
      <c r="O66" s="1">
        <v>1</v>
      </c>
      <c r="P66" s="1">
        <v>0</v>
      </c>
      <c r="Q66" s="1">
        <v>1</v>
      </c>
      <c r="R66" s="1">
        <v>1</v>
      </c>
      <c r="S66" s="1">
        <v>1</v>
      </c>
      <c r="T66" s="1">
        <v>0</v>
      </c>
      <c r="U66" s="1">
        <v>0</v>
      </c>
      <c r="V66" s="1">
        <v>0</v>
      </c>
      <c r="W66" s="1">
        <v>1</v>
      </c>
      <c r="X66" s="1">
        <v>1</v>
      </c>
      <c r="Y66" s="1">
        <v>0</v>
      </c>
      <c r="Z66" s="1">
        <v>1</v>
      </c>
      <c r="AA66" s="22">
        <f t="shared" ref="AA66:AA97" si="15">SUM(B66,D66,E66,H66,K66,M66,N66,P66,S66,T66,X66,Y66,Z66)</f>
        <v>8</v>
      </c>
      <c r="AB66" s="1">
        <f t="shared" ref="AB66:AB97" si="16">SUM(C66,F66,I66,O66,R66,V66)</f>
        <v>3</v>
      </c>
      <c r="AC66" s="1">
        <f t="shared" ref="AC66:AC97" si="17">SUM(G66,J66,L66,Q66,U66,W66)</f>
        <v>4</v>
      </c>
      <c r="AD66" s="22">
        <f t="shared" ref="AD66:AD97" si="18">SUM(AA66:AC66)</f>
        <v>15</v>
      </c>
      <c r="AE66" s="22">
        <f t="shared" ref="AE66:AE97" si="19">AD66*4</f>
        <v>60</v>
      </c>
      <c r="AF66" t="str">
        <f t="shared" ref="AF66:AF97" si="20">IF(AE66&lt;=$AL$3,$AJ$3,IF(AE66&lt;=$AL$4,$AJ$4,IF(AE66&lt;=$AL$5,$AJ$5,IF(AE66&lt;=$AL$6,$AJ$6,"erik"))))</f>
        <v>Nivel de Autoestima Medio Alto</v>
      </c>
      <c r="AG66" s="1">
        <f t="shared" si="6"/>
        <v>3</v>
      </c>
    </row>
    <row r="67" spans="1:33" x14ac:dyDescent="0.25">
      <c r="A67" t="s">
        <v>81</v>
      </c>
      <c r="B67" s="1">
        <v>0</v>
      </c>
      <c r="C67" s="1">
        <v>1</v>
      </c>
      <c r="D67" s="1">
        <v>0</v>
      </c>
      <c r="E67" s="1">
        <v>1</v>
      </c>
      <c r="F67" s="1">
        <v>1</v>
      </c>
      <c r="G67" s="1">
        <v>1</v>
      </c>
      <c r="H67" s="1">
        <v>1</v>
      </c>
      <c r="I67" s="1">
        <v>0</v>
      </c>
      <c r="J67" s="1">
        <v>1</v>
      </c>
      <c r="K67" s="1">
        <v>0</v>
      </c>
      <c r="L67" s="1">
        <v>0</v>
      </c>
      <c r="M67" s="1">
        <v>1</v>
      </c>
      <c r="N67" s="1">
        <v>1</v>
      </c>
      <c r="O67" s="1">
        <v>0</v>
      </c>
      <c r="P67" s="1">
        <v>1</v>
      </c>
      <c r="Q67" s="1">
        <v>0</v>
      </c>
      <c r="R67" s="1">
        <v>1</v>
      </c>
      <c r="S67" s="1">
        <v>1</v>
      </c>
      <c r="T67" s="1">
        <v>0</v>
      </c>
      <c r="U67" s="1">
        <v>1</v>
      </c>
      <c r="V67" s="1">
        <v>0</v>
      </c>
      <c r="W67" s="1">
        <v>1</v>
      </c>
      <c r="X67" s="1">
        <v>0</v>
      </c>
      <c r="Y67" s="1">
        <v>0</v>
      </c>
      <c r="Z67" s="1">
        <v>0</v>
      </c>
      <c r="AA67" s="22">
        <f t="shared" si="15"/>
        <v>6</v>
      </c>
      <c r="AB67" s="1">
        <f t="shared" si="16"/>
        <v>3</v>
      </c>
      <c r="AC67" s="1">
        <f t="shared" si="17"/>
        <v>4</v>
      </c>
      <c r="AD67" s="22">
        <f t="shared" si="18"/>
        <v>13</v>
      </c>
      <c r="AE67" s="22">
        <f t="shared" si="19"/>
        <v>52</v>
      </c>
      <c r="AF67" t="str">
        <f t="shared" si="20"/>
        <v>Nivel de Autoestima Medio Alto</v>
      </c>
      <c r="AG67" s="1">
        <f t="shared" ref="AG67:AG130" si="21">IF(AF67=$AJ$3,$AI$3,IF(AF67=$AJ$4,$AI$4,IF(AF67=$AJ$5,$AI$5,IF(AF67=$AJ$6,$AI$6,"erik"))))</f>
        <v>3</v>
      </c>
    </row>
    <row r="68" spans="1:33" x14ac:dyDescent="0.25">
      <c r="A68" t="s">
        <v>82</v>
      </c>
      <c r="B68" s="1">
        <v>1</v>
      </c>
      <c r="C68" s="1">
        <v>0</v>
      </c>
      <c r="D68" s="1">
        <v>0</v>
      </c>
      <c r="E68" s="1">
        <v>1</v>
      </c>
      <c r="F68" s="1">
        <v>0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0</v>
      </c>
      <c r="M68" s="1">
        <v>1</v>
      </c>
      <c r="N68" s="1">
        <v>1</v>
      </c>
      <c r="O68" s="1">
        <v>0</v>
      </c>
      <c r="P68" s="1">
        <v>0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0</v>
      </c>
      <c r="Z68" s="1">
        <v>1</v>
      </c>
      <c r="AA68" s="22">
        <f t="shared" si="15"/>
        <v>10</v>
      </c>
      <c r="AB68" s="1">
        <f t="shared" si="16"/>
        <v>3</v>
      </c>
      <c r="AC68" s="1">
        <f t="shared" si="17"/>
        <v>5</v>
      </c>
      <c r="AD68" s="22">
        <f t="shared" si="18"/>
        <v>18</v>
      </c>
      <c r="AE68" s="22">
        <f t="shared" si="19"/>
        <v>72</v>
      </c>
      <c r="AF68" t="str">
        <f t="shared" si="20"/>
        <v>Nivel de Autoestima Medio Alto</v>
      </c>
      <c r="AG68" s="1">
        <f t="shared" si="21"/>
        <v>3</v>
      </c>
    </row>
    <row r="69" spans="1:33" x14ac:dyDescent="0.25">
      <c r="A69" t="s">
        <v>83</v>
      </c>
      <c r="B69" s="1">
        <v>1</v>
      </c>
      <c r="C69" s="1">
        <v>1</v>
      </c>
      <c r="D69" s="1">
        <v>1</v>
      </c>
      <c r="E69" s="1">
        <v>0</v>
      </c>
      <c r="F69" s="1">
        <v>0</v>
      </c>
      <c r="G69" s="1">
        <v>1</v>
      </c>
      <c r="H69" s="1">
        <v>1</v>
      </c>
      <c r="I69" s="1">
        <v>1</v>
      </c>
      <c r="J69" s="1">
        <v>1</v>
      </c>
      <c r="K69" s="1">
        <v>0</v>
      </c>
      <c r="L69" s="1">
        <v>0</v>
      </c>
      <c r="M69" s="1">
        <v>1</v>
      </c>
      <c r="N69" s="1">
        <v>1</v>
      </c>
      <c r="O69" s="1">
        <v>1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>
        <v>1</v>
      </c>
      <c r="W69" s="1">
        <v>1</v>
      </c>
      <c r="X69" s="1">
        <v>0</v>
      </c>
      <c r="Y69" s="1">
        <v>0</v>
      </c>
      <c r="Z69" s="1">
        <v>0</v>
      </c>
      <c r="AA69" s="22">
        <f t="shared" si="15"/>
        <v>6</v>
      </c>
      <c r="AB69" s="1">
        <f t="shared" si="16"/>
        <v>4</v>
      </c>
      <c r="AC69" s="1">
        <f t="shared" si="17"/>
        <v>4</v>
      </c>
      <c r="AD69" s="22">
        <f t="shared" si="18"/>
        <v>14</v>
      </c>
      <c r="AE69" s="22">
        <f t="shared" si="19"/>
        <v>56</v>
      </c>
      <c r="AF69" t="str">
        <f t="shared" si="20"/>
        <v>Nivel de Autoestima Medio Alto</v>
      </c>
      <c r="AG69" s="1">
        <f t="shared" si="21"/>
        <v>3</v>
      </c>
    </row>
    <row r="70" spans="1:33" x14ac:dyDescent="0.25">
      <c r="A70" t="s">
        <v>84</v>
      </c>
      <c r="B70" s="1">
        <v>1</v>
      </c>
      <c r="C70" s="1">
        <v>1</v>
      </c>
      <c r="D70" s="1">
        <v>0</v>
      </c>
      <c r="E70" s="1">
        <v>1</v>
      </c>
      <c r="F70" s="1">
        <v>1</v>
      </c>
      <c r="G70" s="1">
        <v>0</v>
      </c>
      <c r="H70" s="1">
        <v>0</v>
      </c>
      <c r="I70" s="1">
        <v>1</v>
      </c>
      <c r="J70" s="1">
        <v>1</v>
      </c>
      <c r="K70" s="1">
        <v>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1</v>
      </c>
      <c r="S70" s="1">
        <v>0</v>
      </c>
      <c r="T70" s="1">
        <v>1</v>
      </c>
      <c r="U70" s="1">
        <v>1</v>
      </c>
      <c r="V70" s="1">
        <v>0</v>
      </c>
      <c r="W70" s="1">
        <v>1</v>
      </c>
      <c r="X70" s="1">
        <v>0</v>
      </c>
      <c r="Y70" s="1">
        <v>1</v>
      </c>
      <c r="Z70" s="1">
        <v>1</v>
      </c>
      <c r="AA70" s="22">
        <f t="shared" si="15"/>
        <v>6</v>
      </c>
      <c r="AB70" s="1">
        <f t="shared" si="16"/>
        <v>4</v>
      </c>
      <c r="AC70" s="1">
        <f t="shared" si="17"/>
        <v>4</v>
      </c>
      <c r="AD70" s="22">
        <f t="shared" si="18"/>
        <v>14</v>
      </c>
      <c r="AE70" s="22">
        <f t="shared" si="19"/>
        <v>56</v>
      </c>
      <c r="AF70" t="str">
        <f t="shared" si="20"/>
        <v>Nivel de Autoestima Medio Alto</v>
      </c>
      <c r="AG70" s="1">
        <f t="shared" si="21"/>
        <v>3</v>
      </c>
    </row>
    <row r="71" spans="1:33" x14ac:dyDescent="0.25">
      <c r="A71" t="s">
        <v>85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0</v>
      </c>
      <c r="Q71" s="1">
        <v>1</v>
      </c>
      <c r="R71" s="1">
        <v>1</v>
      </c>
      <c r="S71" s="1">
        <v>1</v>
      </c>
      <c r="T71" s="1">
        <v>0</v>
      </c>
      <c r="U71" s="1">
        <v>1</v>
      </c>
      <c r="V71" s="1">
        <v>1</v>
      </c>
      <c r="W71" s="1">
        <v>1</v>
      </c>
      <c r="X71" s="1">
        <v>1</v>
      </c>
      <c r="Y71" s="1">
        <v>1</v>
      </c>
      <c r="Z71" s="1">
        <v>1</v>
      </c>
      <c r="AA71" s="22">
        <f t="shared" si="15"/>
        <v>11</v>
      </c>
      <c r="AB71" s="1">
        <f t="shared" si="16"/>
        <v>6</v>
      </c>
      <c r="AC71" s="1">
        <f t="shared" si="17"/>
        <v>6</v>
      </c>
      <c r="AD71" s="22">
        <f t="shared" si="18"/>
        <v>23</v>
      </c>
      <c r="AE71" s="22">
        <f t="shared" si="19"/>
        <v>92</v>
      </c>
      <c r="AF71" t="str">
        <f t="shared" si="20"/>
        <v>Nivel de Autoestima Alto</v>
      </c>
      <c r="AG71" s="1">
        <f t="shared" si="21"/>
        <v>4</v>
      </c>
    </row>
    <row r="72" spans="1:33" x14ac:dyDescent="0.25">
      <c r="A72" t="s">
        <v>86</v>
      </c>
      <c r="B72" s="1">
        <v>0</v>
      </c>
      <c r="C72" s="1">
        <v>1</v>
      </c>
      <c r="D72" s="1">
        <v>1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0</v>
      </c>
      <c r="P72" s="1">
        <v>1</v>
      </c>
      <c r="Q72" s="1">
        <v>1</v>
      </c>
      <c r="R72" s="1">
        <v>1</v>
      </c>
      <c r="S72" s="1">
        <v>1</v>
      </c>
      <c r="T72" s="1">
        <v>0</v>
      </c>
      <c r="U72" s="1">
        <v>1</v>
      </c>
      <c r="V72" s="1">
        <v>1</v>
      </c>
      <c r="W72" s="1">
        <v>0</v>
      </c>
      <c r="X72" s="1">
        <v>0</v>
      </c>
      <c r="Y72" s="1">
        <v>1</v>
      </c>
      <c r="Z72" s="1">
        <v>0</v>
      </c>
      <c r="AA72" s="22">
        <f t="shared" si="15"/>
        <v>5</v>
      </c>
      <c r="AB72" s="1">
        <f t="shared" si="16"/>
        <v>3</v>
      </c>
      <c r="AC72" s="1">
        <f t="shared" si="17"/>
        <v>5</v>
      </c>
      <c r="AD72" s="22">
        <f t="shared" si="18"/>
        <v>13</v>
      </c>
      <c r="AE72" s="22">
        <f t="shared" si="19"/>
        <v>52</v>
      </c>
      <c r="AF72" t="str">
        <f t="shared" si="20"/>
        <v>Nivel de Autoestima Medio Alto</v>
      </c>
      <c r="AG72" s="1">
        <f t="shared" si="21"/>
        <v>3</v>
      </c>
    </row>
    <row r="73" spans="1:33" x14ac:dyDescent="0.25">
      <c r="A73" t="s">
        <v>87</v>
      </c>
      <c r="B73" s="1">
        <v>1</v>
      </c>
      <c r="C73" s="1">
        <v>1</v>
      </c>
      <c r="D73" s="1">
        <v>1</v>
      </c>
      <c r="E73" s="1">
        <v>0</v>
      </c>
      <c r="F73" s="1">
        <v>1</v>
      </c>
      <c r="G73" s="1">
        <v>0</v>
      </c>
      <c r="H73" s="1">
        <v>0</v>
      </c>
      <c r="I73" s="1">
        <v>1</v>
      </c>
      <c r="J73" s="1">
        <v>1</v>
      </c>
      <c r="K73" s="1">
        <v>1</v>
      </c>
      <c r="L73" s="1">
        <v>1</v>
      </c>
      <c r="M73" s="1">
        <v>0</v>
      </c>
      <c r="N73" s="1">
        <v>1</v>
      </c>
      <c r="O73" s="1">
        <v>1</v>
      </c>
      <c r="P73" s="1">
        <v>0</v>
      </c>
      <c r="Q73" s="1">
        <v>1</v>
      </c>
      <c r="R73" s="1">
        <v>1</v>
      </c>
      <c r="S73" s="1">
        <v>1</v>
      </c>
      <c r="T73" s="1">
        <v>0</v>
      </c>
      <c r="U73" s="1">
        <v>1</v>
      </c>
      <c r="V73" s="1">
        <v>1</v>
      </c>
      <c r="W73" s="1">
        <v>1</v>
      </c>
      <c r="X73" s="1">
        <v>0</v>
      </c>
      <c r="Y73" s="1">
        <v>1</v>
      </c>
      <c r="Z73" s="1">
        <v>0</v>
      </c>
      <c r="AA73" s="22">
        <f t="shared" si="15"/>
        <v>6</v>
      </c>
      <c r="AB73" s="1">
        <f t="shared" si="16"/>
        <v>6</v>
      </c>
      <c r="AC73" s="1">
        <f t="shared" si="17"/>
        <v>5</v>
      </c>
      <c r="AD73" s="22">
        <f t="shared" si="18"/>
        <v>17</v>
      </c>
      <c r="AE73" s="22">
        <f t="shared" si="19"/>
        <v>68</v>
      </c>
      <c r="AF73" t="str">
        <f t="shared" si="20"/>
        <v>Nivel de Autoestima Medio Alto</v>
      </c>
      <c r="AG73" s="1">
        <f t="shared" si="21"/>
        <v>3</v>
      </c>
    </row>
    <row r="74" spans="1:33" x14ac:dyDescent="0.25">
      <c r="A74" t="s">
        <v>88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0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0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  <c r="Z74" s="1">
        <v>1</v>
      </c>
      <c r="AA74" s="22">
        <f t="shared" si="15"/>
        <v>11</v>
      </c>
      <c r="AB74" s="1">
        <f t="shared" si="16"/>
        <v>6</v>
      </c>
      <c r="AC74" s="1">
        <f t="shared" si="17"/>
        <v>6</v>
      </c>
      <c r="AD74" s="22">
        <f t="shared" si="18"/>
        <v>23</v>
      </c>
      <c r="AE74" s="22">
        <f t="shared" si="19"/>
        <v>92</v>
      </c>
      <c r="AF74" t="str">
        <f t="shared" si="20"/>
        <v>Nivel de Autoestima Alto</v>
      </c>
      <c r="AG74" s="1">
        <f t="shared" si="21"/>
        <v>4</v>
      </c>
    </row>
    <row r="75" spans="1:33" x14ac:dyDescent="0.25">
      <c r="A75" t="s">
        <v>89</v>
      </c>
      <c r="B75" s="1">
        <v>0</v>
      </c>
      <c r="C75" s="1">
        <v>0</v>
      </c>
      <c r="D75" s="1">
        <v>1</v>
      </c>
      <c r="E75" s="1">
        <v>1</v>
      </c>
      <c r="F75" s="1">
        <v>0</v>
      </c>
      <c r="G75" s="1">
        <v>0</v>
      </c>
      <c r="H75" s="1">
        <v>0</v>
      </c>
      <c r="I75" s="1">
        <v>1</v>
      </c>
      <c r="J75" s="1">
        <v>0</v>
      </c>
      <c r="K75" s="1">
        <v>1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22">
        <f t="shared" si="15"/>
        <v>3</v>
      </c>
      <c r="AB75" s="1">
        <f t="shared" si="16"/>
        <v>1</v>
      </c>
      <c r="AC75" s="1">
        <f t="shared" si="17"/>
        <v>1</v>
      </c>
      <c r="AD75" s="22">
        <f t="shared" si="18"/>
        <v>5</v>
      </c>
      <c r="AE75" s="22">
        <f t="shared" si="19"/>
        <v>20</v>
      </c>
      <c r="AF75" t="str">
        <f t="shared" si="20"/>
        <v>Nivel de Autoestima Bajo</v>
      </c>
      <c r="AG75" s="1">
        <f t="shared" si="21"/>
        <v>1</v>
      </c>
    </row>
    <row r="76" spans="1:33" x14ac:dyDescent="0.25">
      <c r="A76" t="s">
        <v>90</v>
      </c>
      <c r="B76" s="1">
        <v>0</v>
      </c>
      <c r="C76" s="1">
        <v>0</v>
      </c>
      <c r="D76" s="1">
        <v>1</v>
      </c>
      <c r="E76" s="1">
        <v>0</v>
      </c>
      <c r="F76" s="1">
        <v>1</v>
      </c>
      <c r="G76" s="1">
        <v>1</v>
      </c>
      <c r="H76" s="1">
        <v>1</v>
      </c>
      <c r="I76" s="1">
        <v>1</v>
      </c>
      <c r="J76" s="1">
        <v>0</v>
      </c>
      <c r="K76" s="1">
        <v>1</v>
      </c>
      <c r="L76" s="1">
        <v>1</v>
      </c>
      <c r="M76" s="1">
        <v>1</v>
      </c>
      <c r="N76" s="1">
        <v>0</v>
      </c>
      <c r="O76" s="1">
        <v>1</v>
      </c>
      <c r="P76" s="1">
        <v>1</v>
      </c>
      <c r="Q76" s="1">
        <v>1</v>
      </c>
      <c r="R76" s="1">
        <v>1</v>
      </c>
      <c r="S76" s="1">
        <v>0</v>
      </c>
      <c r="T76" s="1">
        <v>1</v>
      </c>
      <c r="U76" s="1">
        <v>1</v>
      </c>
      <c r="V76" s="1">
        <v>0</v>
      </c>
      <c r="W76" s="1">
        <v>1</v>
      </c>
      <c r="X76" s="1">
        <v>1</v>
      </c>
      <c r="Y76" s="1">
        <v>1</v>
      </c>
      <c r="Z76" s="1">
        <v>1</v>
      </c>
      <c r="AA76" s="22">
        <f t="shared" si="15"/>
        <v>9</v>
      </c>
      <c r="AB76" s="1">
        <f t="shared" si="16"/>
        <v>4</v>
      </c>
      <c r="AC76" s="1">
        <f t="shared" si="17"/>
        <v>5</v>
      </c>
      <c r="AD76" s="22">
        <f t="shared" si="18"/>
        <v>18</v>
      </c>
      <c r="AE76" s="22">
        <f t="shared" si="19"/>
        <v>72</v>
      </c>
      <c r="AF76" t="str">
        <f t="shared" si="20"/>
        <v>Nivel de Autoestima Medio Alto</v>
      </c>
      <c r="AG76" s="1">
        <f t="shared" si="21"/>
        <v>3</v>
      </c>
    </row>
    <row r="77" spans="1:33" x14ac:dyDescent="0.25">
      <c r="A77" t="s">
        <v>91</v>
      </c>
      <c r="B77" s="1">
        <v>1</v>
      </c>
      <c r="C77" s="1">
        <v>1</v>
      </c>
      <c r="D77" s="1">
        <v>0</v>
      </c>
      <c r="E77" s="1">
        <v>0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0</v>
      </c>
      <c r="Q77" s="1">
        <v>1</v>
      </c>
      <c r="R77" s="1">
        <v>1</v>
      </c>
      <c r="S77" s="1">
        <v>0</v>
      </c>
      <c r="T77" s="1">
        <v>0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22">
        <f t="shared" si="15"/>
        <v>8</v>
      </c>
      <c r="AB77" s="1">
        <f t="shared" si="16"/>
        <v>6</v>
      </c>
      <c r="AC77" s="1">
        <f t="shared" si="17"/>
        <v>6</v>
      </c>
      <c r="AD77" s="22">
        <f t="shared" si="18"/>
        <v>20</v>
      </c>
      <c r="AE77" s="22">
        <f t="shared" si="19"/>
        <v>80</v>
      </c>
      <c r="AF77" t="str">
        <f t="shared" si="20"/>
        <v>Nivel de Autoestima Alto</v>
      </c>
      <c r="AG77" s="1">
        <f t="shared" si="21"/>
        <v>4</v>
      </c>
    </row>
    <row r="78" spans="1:33" x14ac:dyDescent="0.25">
      <c r="A78" t="s">
        <v>92</v>
      </c>
      <c r="B78" s="1">
        <v>1</v>
      </c>
      <c r="C78" s="1">
        <v>1</v>
      </c>
      <c r="D78" s="1">
        <v>0</v>
      </c>
      <c r="E78" s="1">
        <v>1</v>
      </c>
      <c r="F78" s="1">
        <v>1</v>
      </c>
      <c r="G78" s="1">
        <v>1</v>
      </c>
      <c r="H78" s="1">
        <v>0</v>
      </c>
      <c r="I78" s="1">
        <v>1</v>
      </c>
      <c r="J78" s="1">
        <v>1</v>
      </c>
      <c r="K78" s="1">
        <v>0</v>
      </c>
      <c r="L78" s="1">
        <v>0</v>
      </c>
      <c r="M78" s="1">
        <v>0</v>
      </c>
      <c r="N78" s="1">
        <v>1</v>
      </c>
      <c r="O78" s="1">
        <v>0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0</v>
      </c>
      <c r="V78" s="1">
        <v>1</v>
      </c>
      <c r="W78" s="1">
        <v>1</v>
      </c>
      <c r="X78" s="1">
        <v>1</v>
      </c>
      <c r="Y78" s="1">
        <v>0</v>
      </c>
      <c r="Z78" s="1">
        <v>0</v>
      </c>
      <c r="AA78" s="22">
        <f t="shared" si="15"/>
        <v>7</v>
      </c>
      <c r="AB78" s="1">
        <f t="shared" si="16"/>
        <v>5</v>
      </c>
      <c r="AC78" s="1">
        <f t="shared" si="17"/>
        <v>4</v>
      </c>
      <c r="AD78" s="22">
        <f t="shared" si="18"/>
        <v>16</v>
      </c>
      <c r="AE78" s="22">
        <f t="shared" si="19"/>
        <v>64</v>
      </c>
      <c r="AF78" t="str">
        <f t="shared" si="20"/>
        <v>Nivel de Autoestima Medio Alto</v>
      </c>
      <c r="AG78" s="1">
        <f t="shared" si="21"/>
        <v>3</v>
      </c>
    </row>
    <row r="79" spans="1:33" x14ac:dyDescent="0.25">
      <c r="A79" t="s">
        <v>93</v>
      </c>
      <c r="B79" s="1">
        <v>1</v>
      </c>
      <c r="C79" s="1">
        <v>0</v>
      </c>
      <c r="D79" s="1">
        <v>0</v>
      </c>
      <c r="E79" s="1">
        <v>1</v>
      </c>
      <c r="F79" s="1">
        <v>0</v>
      </c>
      <c r="G79" s="1">
        <v>1</v>
      </c>
      <c r="H79" s="1">
        <v>0</v>
      </c>
      <c r="I79" s="1">
        <v>0</v>
      </c>
      <c r="J79" s="1">
        <v>1</v>
      </c>
      <c r="K79" s="1">
        <v>0</v>
      </c>
      <c r="L79" s="1">
        <v>0</v>
      </c>
      <c r="M79" s="1">
        <v>0</v>
      </c>
      <c r="N79" s="1">
        <v>0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</v>
      </c>
      <c r="Y79" s="1">
        <v>1</v>
      </c>
      <c r="Z79" s="1">
        <v>0</v>
      </c>
      <c r="AA79" s="22">
        <f t="shared" si="15"/>
        <v>4</v>
      </c>
      <c r="AB79" s="1">
        <f t="shared" si="16"/>
        <v>1</v>
      </c>
      <c r="AC79" s="1">
        <f t="shared" si="17"/>
        <v>2</v>
      </c>
      <c r="AD79" s="22">
        <f t="shared" si="18"/>
        <v>7</v>
      </c>
      <c r="AE79" s="22">
        <f t="shared" si="19"/>
        <v>28</v>
      </c>
      <c r="AF79" t="str">
        <f t="shared" si="20"/>
        <v>Nivel de Autoestima Medio Bajo</v>
      </c>
      <c r="AG79" s="1">
        <f t="shared" si="21"/>
        <v>2</v>
      </c>
    </row>
    <row r="80" spans="1:33" x14ac:dyDescent="0.25">
      <c r="A80" t="s">
        <v>94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0</v>
      </c>
      <c r="I80" s="1">
        <v>1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1</v>
      </c>
      <c r="P80" s="1">
        <v>0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1</v>
      </c>
      <c r="Y80" s="1">
        <v>1</v>
      </c>
      <c r="Z80" s="1">
        <v>0</v>
      </c>
      <c r="AA80" s="22">
        <f t="shared" si="15"/>
        <v>8</v>
      </c>
      <c r="AB80" s="1">
        <f t="shared" si="16"/>
        <v>6</v>
      </c>
      <c r="AC80" s="1">
        <f t="shared" si="17"/>
        <v>4</v>
      </c>
      <c r="AD80" s="22">
        <f t="shared" si="18"/>
        <v>18</v>
      </c>
      <c r="AE80" s="22">
        <f t="shared" si="19"/>
        <v>72</v>
      </c>
      <c r="AF80" t="str">
        <f t="shared" si="20"/>
        <v>Nivel de Autoestima Medio Alto</v>
      </c>
      <c r="AG80" s="1">
        <f t="shared" si="21"/>
        <v>3</v>
      </c>
    </row>
    <row r="81" spans="1:33" x14ac:dyDescent="0.25">
      <c r="A81" t="s">
        <v>95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  <c r="G81" s="1">
        <v>0</v>
      </c>
      <c r="H81" s="1">
        <v>1</v>
      </c>
      <c r="I81" s="1">
        <v>1</v>
      </c>
      <c r="J81" s="1">
        <v>1</v>
      </c>
      <c r="K81" s="1">
        <v>0</v>
      </c>
      <c r="L81" s="1">
        <v>1</v>
      </c>
      <c r="M81" s="1">
        <v>0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0</v>
      </c>
      <c r="T81" s="1">
        <v>1</v>
      </c>
      <c r="U81" s="1">
        <v>0</v>
      </c>
      <c r="V81" s="1">
        <v>0</v>
      </c>
      <c r="W81" s="1">
        <v>0</v>
      </c>
      <c r="X81" s="1">
        <v>0</v>
      </c>
      <c r="Y81" s="1">
        <v>1</v>
      </c>
      <c r="Z81" s="1">
        <v>1</v>
      </c>
      <c r="AA81" s="22">
        <f t="shared" si="15"/>
        <v>9</v>
      </c>
      <c r="AB81" s="1">
        <f t="shared" si="16"/>
        <v>5</v>
      </c>
      <c r="AC81" s="1">
        <f t="shared" si="17"/>
        <v>3</v>
      </c>
      <c r="AD81" s="22">
        <f t="shared" si="18"/>
        <v>17</v>
      </c>
      <c r="AE81" s="22">
        <f t="shared" si="19"/>
        <v>68</v>
      </c>
      <c r="AF81" t="str">
        <f t="shared" si="20"/>
        <v>Nivel de Autoestima Medio Alto</v>
      </c>
      <c r="AG81" s="1">
        <f t="shared" si="21"/>
        <v>3</v>
      </c>
    </row>
    <row r="82" spans="1:33" x14ac:dyDescent="0.25">
      <c r="A82" t="s">
        <v>96</v>
      </c>
      <c r="B82" s="1">
        <v>0</v>
      </c>
      <c r="C82" s="1">
        <v>1</v>
      </c>
      <c r="D82" s="1">
        <v>0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0</v>
      </c>
      <c r="N82" s="1">
        <v>0</v>
      </c>
      <c r="O82" s="1">
        <v>1</v>
      </c>
      <c r="P82" s="1">
        <v>0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1</v>
      </c>
      <c r="Z82" s="1">
        <v>1</v>
      </c>
      <c r="AA82" s="22">
        <f t="shared" si="15"/>
        <v>8</v>
      </c>
      <c r="AB82" s="1">
        <f t="shared" si="16"/>
        <v>6</v>
      </c>
      <c r="AC82" s="1">
        <f t="shared" si="17"/>
        <v>6</v>
      </c>
      <c r="AD82" s="22">
        <f t="shared" si="18"/>
        <v>20</v>
      </c>
      <c r="AE82" s="22">
        <f t="shared" si="19"/>
        <v>80</v>
      </c>
      <c r="AF82" t="str">
        <f t="shared" si="20"/>
        <v>Nivel de Autoestima Alto</v>
      </c>
      <c r="AG82" s="1">
        <f t="shared" si="21"/>
        <v>4</v>
      </c>
    </row>
    <row r="83" spans="1:33" x14ac:dyDescent="0.25">
      <c r="A83" t="s">
        <v>97</v>
      </c>
      <c r="B83" s="1">
        <v>1</v>
      </c>
      <c r="C83" s="1">
        <v>1</v>
      </c>
      <c r="D83" s="1">
        <v>0</v>
      </c>
      <c r="E83" s="1">
        <v>1</v>
      </c>
      <c r="F83" s="1">
        <v>1</v>
      </c>
      <c r="G83" s="1">
        <v>1</v>
      </c>
      <c r="H83" s="1">
        <v>0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1">
        <v>1</v>
      </c>
      <c r="T83" s="1">
        <v>1</v>
      </c>
      <c r="U83" s="1">
        <v>1</v>
      </c>
      <c r="V83" s="1">
        <v>1</v>
      </c>
      <c r="W83" s="1">
        <v>1</v>
      </c>
      <c r="X83" s="1">
        <v>1</v>
      </c>
      <c r="Y83" s="1">
        <v>1</v>
      </c>
      <c r="Z83" s="1">
        <v>1</v>
      </c>
      <c r="AA83" s="22">
        <f t="shared" si="15"/>
        <v>11</v>
      </c>
      <c r="AB83" s="1">
        <f t="shared" si="16"/>
        <v>6</v>
      </c>
      <c r="AC83" s="1">
        <f t="shared" si="17"/>
        <v>6</v>
      </c>
      <c r="AD83" s="22">
        <f t="shared" si="18"/>
        <v>23</v>
      </c>
      <c r="AE83" s="22">
        <f t="shared" si="19"/>
        <v>92</v>
      </c>
      <c r="AF83" t="str">
        <f t="shared" si="20"/>
        <v>Nivel de Autoestima Alto</v>
      </c>
      <c r="AG83" s="1">
        <f t="shared" si="21"/>
        <v>4</v>
      </c>
    </row>
    <row r="84" spans="1:33" x14ac:dyDescent="0.25">
      <c r="A84" t="s">
        <v>98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</v>
      </c>
      <c r="K84" s="1">
        <v>0</v>
      </c>
      <c r="L84" s="1">
        <v>1</v>
      </c>
      <c r="M84" s="1">
        <v>0</v>
      </c>
      <c r="N84" s="1">
        <v>0</v>
      </c>
      <c r="O84" s="1">
        <v>1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22">
        <f t="shared" si="15"/>
        <v>1</v>
      </c>
      <c r="AB84" s="1">
        <f t="shared" si="16"/>
        <v>1</v>
      </c>
      <c r="AC84" s="1">
        <f t="shared" si="17"/>
        <v>2</v>
      </c>
      <c r="AD84" s="22">
        <f t="shared" si="18"/>
        <v>4</v>
      </c>
      <c r="AE84" s="22">
        <f t="shared" si="19"/>
        <v>16</v>
      </c>
      <c r="AF84" t="str">
        <f t="shared" si="20"/>
        <v>Nivel de Autoestima Bajo</v>
      </c>
      <c r="AG84" s="1">
        <f t="shared" si="21"/>
        <v>1</v>
      </c>
    </row>
    <row r="85" spans="1:33" x14ac:dyDescent="0.25">
      <c r="A85" t="s">
        <v>99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  <c r="G85" s="1">
        <v>0</v>
      </c>
      <c r="H85" s="1">
        <v>1</v>
      </c>
      <c r="I85" s="1">
        <v>0</v>
      </c>
      <c r="J85" s="1">
        <v>1</v>
      </c>
      <c r="K85" s="1">
        <v>1</v>
      </c>
      <c r="L85" s="1">
        <v>0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1</v>
      </c>
      <c r="T85" s="1">
        <v>0</v>
      </c>
      <c r="U85" s="1">
        <v>1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22">
        <f t="shared" si="15"/>
        <v>9</v>
      </c>
      <c r="AB85" s="1">
        <f t="shared" si="16"/>
        <v>4</v>
      </c>
      <c r="AC85" s="1">
        <f t="shared" si="17"/>
        <v>3</v>
      </c>
      <c r="AD85" s="22">
        <f t="shared" si="18"/>
        <v>16</v>
      </c>
      <c r="AE85" s="22">
        <f t="shared" si="19"/>
        <v>64</v>
      </c>
      <c r="AF85" t="str">
        <f t="shared" si="20"/>
        <v>Nivel de Autoestima Medio Alto</v>
      </c>
      <c r="AG85" s="1">
        <f t="shared" si="21"/>
        <v>3</v>
      </c>
    </row>
    <row r="86" spans="1:33" x14ac:dyDescent="0.25">
      <c r="A86" t="s">
        <v>100</v>
      </c>
      <c r="B86" s="1">
        <v>1</v>
      </c>
      <c r="C86" s="1">
        <v>0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0</v>
      </c>
      <c r="J86" s="1">
        <v>1</v>
      </c>
      <c r="K86" s="1">
        <v>1</v>
      </c>
      <c r="L86" s="1">
        <v>0</v>
      </c>
      <c r="M86" s="1">
        <v>1</v>
      </c>
      <c r="N86" s="1">
        <v>1</v>
      </c>
      <c r="O86" s="1">
        <v>1</v>
      </c>
      <c r="P86" s="1">
        <v>1</v>
      </c>
      <c r="Q86" s="1">
        <v>0</v>
      </c>
      <c r="R86" s="1">
        <v>0</v>
      </c>
      <c r="S86" s="1">
        <v>1</v>
      </c>
      <c r="T86" s="1">
        <v>0</v>
      </c>
      <c r="U86" s="1">
        <v>0</v>
      </c>
      <c r="V86" s="1">
        <v>1</v>
      </c>
      <c r="W86" s="1">
        <v>1</v>
      </c>
      <c r="X86" s="1">
        <v>1</v>
      </c>
      <c r="Y86" s="1">
        <v>0</v>
      </c>
      <c r="Z86" s="1">
        <v>1</v>
      </c>
      <c r="AA86" s="22">
        <f t="shared" si="15"/>
        <v>11</v>
      </c>
      <c r="AB86" s="1">
        <f t="shared" si="16"/>
        <v>3</v>
      </c>
      <c r="AC86" s="1">
        <f t="shared" si="17"/>
        <v>3</v>
      </c>
      <c r="AD86" s="22">
        <f t="shared" si="18"/>
        <v>17</v>
      </c>
      <c r="AE86" s="22">
        <f t="shared" si="19"/>
        <v>68</v>
      </c>
      <c r="AF86" t="str">
        <f t="shared" si="20"/>
        <v>Nivel de Autoestima Medio Alto</v>
      </c>
      <c r="AG86" s="1">
        <f t="shared" si="21"/>
        <v>3</v>
      </c>
    </row>
    <row r="87" spans="1:33" x14ac:dyDescent="0.25">
      <c r="A87" t="s">
        <v>101</v>
      </c>
      <c r="B87" s="1">
        <v>0</v>
      </c>
      <c r="C87" s="1">
        <v>1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0</v>
      </c>
      <c r="M87" s="1">
        <v>1</v>
      </c>
      <c r="N87" s="1">
        <v>1</v>
      </c>
      <c r="O87" s="1">
        <v>1</v>
      </c>
      <c r="P87" s="1">
        <v>0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1</v>
      </c>
      <c r="Z87" s="1">
        <v>1</v>
      </c>
      <c r="AA87" s="22">
        <f t="shared" si="15"/>
        <v>11</v>
      </c>
      <c r="AB87" s="1">
        <f t="shared" si="16"/>
        <v>6</v>
      </c>
      <c r="AC87" s="1">
        <f t="shared" si="17"/>
        <v>5</v>
      </c>
      <c r="AD87" s="22">
        <f t="shared" si="18"/>
        <v>22</v>
      </c>
      <c r="AE87" s="22">
        <f t="shared" si="19"/>
        <v>88</v>
      </c>
      <c r="AF87" t="str">
        <f t="shared" si="20"/>
        <v>Nivel de Autoestima Alto</v>
      </c>
      <c r="AG87" s="1">
        <f t="shared" si="21"/>
        <v>4</v>
      </c>
    </row>
    <row r="88" spans="1:33" x14ac:dyDescent="0.25">
      <c r="A88" t="s">
        <v>102</v>
      </c>
      <c r="B88" s="1">
        <v>0</v>
      </c>
      <c r="C88" s="1">
        <v>1</v>
      </c>
      <c r="D88" s="1">
        <v>0</v>
      </c>
      <c r="E88" s="1">
        <v>0</v>
      </c>
      <c r="F88" s="1">
        <v>1</v>
      </c>
      <c r="G88" s="1">
        <v>0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0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0</v>
      </c>
      <c r="U88" s="1">
        <v>0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22">
        <f t="shared" si="15"/>
        <v>8</v>
      </c>
      <c r="AB88" s="1">
        <f t="shared" si="16"/>
        <v>6</v>
      </c>
      <c r="AC88" s="1">
        <f t="shared" si="17"/>
        <v>4</v>
      </c>
      <c r="AD88" s="22">
        <f t="shared" si="18"/>
        <v>18</v>
      </c>
      <c r="AE88" s="22">
        <f t="shared" si="19"/>
        <v>72</v>
      </c>
      <c r="AF88" t="str">
        <f t="shared" si="20"/>
        <v>Nivel de Autoestima Medio Alto</v>
      </c>
      <c r="AG88" s="1">
        <f t="shared" si="21"/>
        <v>3</v>
      </c>
    </row>
    <row r="89" spans="1:33" x14ac:dyDescent="0.25">
      <c r="A89" t="s">
        <v>103</v>
      </c>
      <c r="B89" s="1">
        <v>0</v>
      </c>
      <c r="C89" s="1">
        <v>1</v>
      </c>
      <c r="D89" s="1">
        <v>1</v>
      </c>
      <c r="E89" s="1">
        <v>0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22">
        <f t="shared" si="15"/>
        <v>1</v>
      </c>
      <c r="AB89" s="1">
        <f t="shared" si="16"/>
        <v>2</v>
      </c>
      <c r="AC89" s="1">
        <f t="shared" si="17"/>
        <v>1</v>
      </c>
      <c r="AD89" s="22">
        <f t="shared" si="18"/>
        <v>4</v>
      </c>
      <c r="AE89" s="22">
        <f t="shared" si="19"/>
        <v>16</v>
      </c>
      <c r="AF89" t="str">
        <f t="shared" si="20"/>
        <v>Nivel de Autoestima Bajo</v>
      </c>
      <c r="AG89" s="1">
        <f t="shared" si="21"/>
        <v>1</v>
      </c>
    </row>
    <row r="90" spans="1:33" x14ac:dyDescent="0.25">
      <c r="A90" t="s">
        <v>104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1</v>
      </c>
      <c r="S90" s="1">
        <v>0</v>
      </c>
      <c r="T90" s="1">
        <v>1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22">
        <f t="shared" si="15"/>
        <v>1</v>
      </c>
      <c r="AB90" s="1">
        <f t="shared" si="16"/>
        <v>1</v>
      </c>
      <c r="AC90" s="1">
        <f t="shared" si="17"/>
        <v>1</v>
      </c>
      <c r="AD90" s="22">
        <f t="shared" si="18"/>
        <v>3</v>
      </c>
      <c r="AE90" s="22">
        <f t="shared" si="19"/>
        <v>12</v>
      </c>
      <c r="AF90" t="str">
        <f t="shared" si="20"/>
        <v>Nivel de Autoestima Bajo</v>
      </c>
      <c r="AG90" s="1">
        <f t="shared" si="21"/>
        <v>1</v>
      </c>
    </row>
    <row r="91" spans="1:33" x14ac:dyDescent="0.25">
      <c r="A91" t="s">
        <v>105</v>
      </c>
      <c r="B91" s="1">
        <v>1</v>
      </c>
      <c r="C91" s="1">
        <v>0</v>
      </c>
      <c r="D91" s="1">
        <v>0</v>
      </c>
      <c r="E91" s="1">
        <v>1</v>
      </c>
      <c r="F91" s="1">
        <v>1</v>
      </c>
      <c r="G91" s="1">
        <v>1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0</v>
      </c>
      <c r="Y91" s="1">
        <v>0</v>
      </c>
      <c r="Z91" s="1">
        <v>0</v>
      </c>
      <c r="AA91" s="22">
        <f t="shared" si="15"/>
        <v>2</v>
      </c>
      <c r="AB91" s="1">
        <f t="shared" si="16"/>
        <v>2</v>
      </c>
      <c r="AC91" s="1">
        <f t="shared" si="17"/>
        <v>2</v>
      </c>
      <c r="AD91" s="22">
        <f t="shared" si="18"/>
        <v>6</v>
      </c>
      <c r="AE91" s="22">
        <f t="shared" si="19"/>
        <v>24</v>
      </c>
      <c r="AF91" t="str">
        <f t="shared" si="20"/>
        <v>Nivel de Autoestima Bajo</v>
      </c>
      <c r="AG91" s="1">
        <f t="shared" si="21"/>
        <v>1</v>
      </c>
    </row>
    <row r="92" spans="1:33" x14ac:dyDescent="0.25">
      <c r="A92" t="s">
        <v>106</v>
      </c>
      <c r="B92" s="1">
        <v>1</v>
      </c>
      <c r="C92" s="1">
        <v>0</v>
      </c>
      <c r="D92" s="1">
        <v>1</v>
      </c>
      <c r="E92" s="1">
        <v>0</v>
      </c>
      <c r="F92" s="1">
        <v>1</v>
      </c>
      <c r="G92" s="1">
        <v>1</v>
      </c>
      <c r="H92" s="1">
        <v>0</v>
      </c>
      <c r="I92" s="1">
        <v>1</v>
      </c>
      <c r="J92" s="1">
        <v>1</v>
      </c>
      <c r="K92" s="1">
        <v>0</v>
      </c>
      <c r="L92" s="1">
        <v>1</v>
      </c>
      <c r="M92" s="1">
        <v>0</v>
      </c>
      <c r="N92" s="1">
        <v>0</v>
      </c>
      <c r="O92" s="1">
        <v>0</v>
      </c>
      <c r="P92" s="1">
        <v>0</v>
      </c>
      <c r="Q92" s="1">
        <v>1</v>
      </c>
      <c r="R92" s="1">
        <v>0</v>
      </c>
      <c r="S92" s="1">
        <v>1</v>
      </c>
      <c r="T92" s="1">
        <v>1</v>
      </c>
      <c r="U92" s="1">
        <v>0</v>
      </c>
      <c r="V92" s="1">
        <v>1</v>
      </c>
      <c r="W92" s="1">
        <v>1</v>
      </c>
      <c r="X92" s="1">
        <v>1</v>
      </c>
      <c r="Y92" s="1">
        <v>1</v>
      </c>
      <c r="Z92" s="1">
        <v>0</v>
      </c>
      <c r="AA92" s="22">
        <f t="shared" si="15"/>
        <v>6</v>
      </c>
      <c r="AB92" s="1">
        <f t="shared" si="16"/>
        <v>3</v>
      </c>
      <c r="AC92" s="1">
        <f t="shared" si="17"/>
        <v>5</v>
      </c>
      <c r="AD92" s="22">
        <f t="shared" si="18"/>
        <v>14</v>
      </c>
      <c r="AE92" s="22">
        <f t="shared" si="19"/>
        <v>56</v>
      </c>
      <c r="AF92" t="str">
        <f t="shared" si="20"/>
        <v>Nivel de Autoestima Medio Alto</v>
      </c>
      <c r="AG92" s="1">
        <f t="shared" si="21"/>
        <v>3</v>
      </c>
    </row>
    <row r="93" spans="1:33" x14ac:dyDescent="0.25">
      <c r="A93" t="s">
        <v>107</v>
      </c>
      <c r="B93" s="1">
        <v>1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</v>
      </c>
      <c r="P93" s="1">
        <v>0</v>
      </c>
      <c r="Q93" s="1">
        <v>0</v>
      </c>
      <c r="R93" s="1">
        <v>1</v>
      </c>
      <c r="S93" s="1">
        <v>0</v>
      </c>
      <c r="T93" s="1">
        <v>0</v>
      </c>
      <c r="U93" s="1">
        <v>0</v>
      </c>
      <c r="V93" s="1">
        <v>0</v>
      </c>
      <c r="W93" s="1">
        <v>1</v>
      </c>
      <c r="X93" s="1">
        <v>0</v>
      </c>
      <c r="Y93" s="1">
        <v>0</v>
      </c>
      <c r="Z93" s="1">
        <v>0</v>
      </c>
      <c r="AA93" s="22">
        <f t="shared" si="15"/>
        <v>2</v>
      </c>
      <c r="AB93" s="1">
        <f t="shared" si="16"/>
        <v>2</v>
      </c>
      <c r="AC93" s="1">
        <f t="shared" si="17"/>
        <v>1</v>
      </c>
      <c r="AD93" s="22">
        <f t="shared" si="18"/>
        <v>5</v>
      </c>
      <c r="AE93" s="22">
        <f t="shared" si="19"/>
        <v>20</v>
      </c>
      <c r="AF93" t="str">
        <f t="shared" si="20"/>
        <v>Nivel de Autoestima Bajo</v>
      </c>
      <c r="AG93" s="1">
        <f t="shared" si="21"/>
        <v>1</v>
      </c>
    </row>
    <row r="94" spans="1:33" x14ac:dyDescent="0.25">
      <c r="A94" t="s">
        <v>108</v>
      </c>
      <c r="B94" s="1">
        <v>1</v>
      </c>
      <c r="C94" s="1">
        <v>1</v>
      </c>
      <c r="D94" s="1">
        <v>0</v>
      </c>
      <c r="E94" s="1">
        <v>0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0</v>
      </c>
      <c r="L94" s="1">
        <v>1</v>
      </c>
      <c r="M94" s="1">
        <v>0</v>
      </c>
      <c r="N94" s="1">
        <v>1</v>
      </c>
      <c r="O94" s="1">
        <v>1</v>
      </c>
      <c r="P94" s="1">
        <v>1</v>
      </c>
      <c r="Q94" s="1">
        <v>1</v>
      </c>
      <c r="R94" s="1">
        <v>0</v>
      </c>
      <c r="S94" s="1">
        <v>1</v>
      </c>
      <c r="T94" s="1">
        <v>1</v>
      </c>
      <c r="U94" s="1">
        <v>1</v>
      </c>
      <c r="V94" s="1">
        <v>0</v>
      </c>
      <c r="W94" s="1">
        <v>1</v>
      </c>
      <c r="X94" s="1">
        <v>0</v>
      </c>
      <c r="Y94" s="1">
        <v>1</v>
      </c>
      <c r="Z94" s="1">
        <v>1</v>
      </c>
      <c r="AA94" s="22">
        <f t="shared" si="15"/>
        <v>8</v>
      </c>
      <c r="AB94" s="1">
        <f t="shared" si="16"/>
        <v>4</v>
      </c>
      <c r="AC94" s="1">
        <f t="shared" si="17"/>
        <v>6</v>
      </c>
      <c r="AD94" s="22">
        <f t="shared" si="18"/>
        <v>18</v>
      </c>
      <c r="AE94" s="22">
        <f t="shared" si="19"/>
        <v>72</v>
      </c>
      <c r="AF94" t="str">
        <f t="shared" si="20"/>
        <v>Nivel de Autoestima Medio Alto</v>
      </c>
      <c r="AG94" s="1">
        <f t="shared" si="21"/>
        <v>3</v>
      </c>
    </row>
    <row r="95" spans="1:33" x14ac:dyDescent="0.25">
      <c r="A95" t="s">
        <v>109</v>
      </c>
      <c r="B95" s="1">
        <v>1</v>
      </c>
      <c r="C95" s="1">
        <v>0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0</v>
      </c>
      <c r="J95" s="1">
        <v>1</v>
      </c>
      <c r="K95" s="1">
        <v>1</v>
      </c>
      <c r="L95" s="1">
        <v>0</v>
      </c>
      <c r="M95" s="1">
        <v>1</v>
      </c>
      <c r="N95" s="1">
        <v>1</v>
      </c>
      <c r="O95" s="1">
        <v>1</v>
      </c>
      <c r="P95" s="1">
        <v>1</v>
      </c>
      <c r="Q95" s="1">
        <v>0</v>
      </c>
      <c r="R95" s="1">
        <v>0</v>
      </c>
      <c r="S95" s="1">
        <v>1</v>
      </c>
      <c r="T95" s="1">
        <v>1</v>
      </c>
      <c r="U95" s="1">
        <v>0</v>
      </c>
      <c r="V95" s="1">
        <v>1</v>
      </c>
      <c r="W95" s="1">
        <v>1</v>
      </c>
      <c r="X95" s="1">
        <v>1</v>
      </c>
      <c r="Y95" s="1">
        <v>1</v>
      </c>
      <c r="Z95" s="1">
        <v>1</v>
      </c>
      <c r="AA95" s="22">
        <f t="shared" si="15"/>
        <v>13</v>
      </c>
      <c r="AB95" s="1">
        <f t="shared" si="16"/>
        <v>3</v>
      </c>
      <c r="AC95" s="1">
        <f t="shared" si="17"/>
        <v>3</v>
      </c>
      <c r="AD95" s="22">
        <f t="shared" si="18"/>
        <v>19</v>
      </c>
      <c r="AE95" s="22">
        <f t="shared" si="19"/>
        <v>76</v>
      </c>
      <c r="AF95" t="str">
        <f t="shared" si="20"/>
        <v>Nivel de Autoestima Alto</v>
      </c>
      <c r="AG95" s="1">
        <f t="shared" si="21"/>
        <v>4</v>
      </c>
    </row>
    <row r="96" spans="1:33" x14ac:dyDescent="0.25">
      <c r="A96" t="s">
        <v>110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1</v>
      </c>
      <c r="H96" s="1">
        <v>1</v>
      </c>
      <c r="I96" s="1">
        <v>1</v>
      </c>
      <c r="J96" s="1">
        <v>0</v>
      </c>
      <c r="K96" s="1">
        <v>0</v>
      </c>
      <c r="L96" s="1">
        <v>0</v>
      </c>
      <c r="M96" s="1">
        <v>1</v>
      </c>
      <c r="N96" s="1">
        <v>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0</v>
      </c>
      <c r="Y96" s="1">
        <v>0</v>
      </c>
      <c r="Z96" s="1">
        <v>0</v>
      </c>
      <c r="AA96" s="22">
        <f t="shared" si="15"/>
        <v>3</v>
      </c>
      <c r="AB96" s="1">
        <f t="shared" si="16"/>
        <v>1</v>
      </c>
      <c r="AC96" s="1">
        <f t="shared" si="17"/>
        <v>2</v>
      </c>
      <c r="AD96" s="22">
        <f t="shared" si="18"/>
        <v>6</v>
      </c>
      <c r="AE96" s="22">
        <f t="shared" si="19"/>
        <v>24</v>
      </c>
      <c r="AF96" t="str">
        <f t="shared" si="20"/>
        <v>Nivel de Autoestima Bajo</v>
      </c>
      <c r="AG96" s="1">
        <f t="shared" si="21"/>
        <v>1</v>
      </c>
    </row>
    <row r="97" spans="1:33" x14ac:dyDescent="0.25">
      <c r="A97" t="s">
        <v>111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0</v>
      </c>
      <c r="M97" s="1">
        <v>0</v>
      </c>
      <c r="N97" s="1">
        <v>0</v>
      </c>
      <c r="O97" s="1">
        <v>1</v>
      </c>
      <c r="P97" s="1">
        <v>0</v>
      </c>
      <c r="Q97" s="1">
        <v>0</v>
      </c>
      <c r="R97" s="1">
        <v>1</v>
      </c>
      <c r="S97" s="1">
        <v>0</v>
      </c>
      <c r="T97" s="1">
        <v>0</v>
      </c>
      <c r="U97" s="1">
        <v>1</v>
      </c>
      <c r="V97" s="1">
        <v>0</v>
      </c>
      <c r="W97" s="1">
        <v>1</v>
      </c>
      <c r="X97" s="1">
        <v>0</v>
      </c>
      <c r="Y97" s="1">
        <v>0</v>
      </c>
      <c r="Z97" s="1">
        <v>0</v>
      </c>
      <c r="AA97" s="22">
        <f t="shared" si="15"/>
        <v>5</v>
      </c>
      <c r="AB97" s="1">
        <f t="shared" si="16"/>
        <v>5</v>
      </c>
      <c r="AC97" s="1">
        <f t="shared" si="17"/>
        <v>4</v>
      </c>
      <c r="AD97" s="22">
        <f t="shared" si="18"/>
        <v>14</v>
      </c>
      <c r="AE97" s="22">
        <f t="shared" si="19"/>
        <v>56</v>
      </c>
      <c r="AF97" t="str">
        <f t="shared" si="20"/>
        <v>Nivel de Autoestima Medio Alto</v>
      </c>
      <c r="AG97" s="1">
        <f t="shared" si="21"/>
        <v>3</v>
      </c>
    </row>
    <row r="98" spans="1:33" x14ac:dyDescent="0.25">
      <c r="A98" t="s">
        <v>112</v>
      </c>
      <c r="B98" s="1">
        <v>1</v>
      </c>
      <c r="C98" s="1">
        <v>1</v>
      </c>
      <c r="D98" s="1">
        <v>0</v>
      </c>
      <c r="E98" s="1">
        <v>1</v>
      </c>
      <c r="F98" s="1">
        <v>1</v>
      </c>
      <c r="G98" s="1">
        <v>0</v>
      </c>
      <c r="H98" s="1">
        <v>1</v>
      </c>
      <c r="I98" s="1">
        <v>1</v>
      </c>
      <c r="J98" s="1">
        <v>0</v>
      </c>
      <c r="K98" s="1">
        <v>1</v>
      </c>
      <c r="L98" s="1">
        <v>1</v>
      </c>
      <c r="M98" s="1">
        <v>0</v>
      </c>
      <c r="N98" s="1">
        <v>1</v>
      </c>
      <c r="O98" s="1">
        <v>1</v>
      </c>
      <c r="P98" s="1">
        <v>0</v>
      </c>
      <c r="Q98" s="1">
        <v>0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0</v>
      </c>
      <c r="Y98" s="1">
        <v>1</v>
      </c>
      <c r="Z98" s="1">
        <v>0</v>
      </c>
      <c r="AA98" s="22">
        <f t="shared" ref="AA98:AA129" si="22">SUM(B98,D98,E98,H98,K98,M98,N98,P98,S98,T98,X98,Y98,Z98)</f>
        <v>8</v>
      </c>
      <c r="AB98" s="1">
        <f t="shared" ref="AB98:AB129" si="23">SUM(C98,F98,I98,O98,R98,V98)</f>
        <v>6</v>
      </c>
      <c r="AC98" s="1">
        <f t="shared" ref="AC98:AC129" si="24">SUM(G98,J98,L98,Q98,U98,W98)</f>
        <v>3</v>
      </c>
      <c r="AD98" s="22">
        <f t="shared" ref="AD98:AD129" si="25">SUM(AA98:AC98)</f>
        <v>17</v>
      </c>
      <c r="AE98" s="22">
        <f t="shared" ref="AE98:AE129" si="26">AD98*4</f>
        <v>68</v>
      </c>
      <c r="AF98" t="str">
        <f t="shared" ref="AF98:AF129" si="27">IF(AE98&lt;=$AL$3,$AJ$3,IF(AE98&lt;=$AL$4,$AJ$4,IF(AE98&lt;=$AL$5,$AJ$5,IF(AE98&lt;=$AL$6,$AJ$6,"erik"))))</f>
        <v>Nivel de Autoestima Medio Alto</v>
      </c>
      <c r="AG98" s="1">
        <f t="shared" si="21"/>
        <v>3</v>
      </c>
    </row>
    <row r="99" spans="1:33" x14ac:dyDescent="0.25">
      <c r="A99" t="s">
        <v>113</v>
      </c>
      <c r="B99" s="1">
        <v>0</v>
      </c>
      <c r="C99" s="1">
        <v>1</v>
      </c>
      <c r="D99" s="1">
        <v>0</v>
      </c>
      <c r="E99" s="1">
        <v>1</v>
      </c>
      <c r="F99" s="1">
        <v>0</v>
      </c>
      <c r="G99" s="1">
        <v>0</v>
      </c>
      <c r="H99" s="1">
        <v>1</v>
      </c>
      <c r="I99" s="1">
        <v>0</v>
      </c>
      <c r="J99" s="1">
        <v>0</v>
      </c>
      <c r="K99" s="1">
        <v>1</v>
      </c>
      <c r="L99" s="1">
        <v>1</v>
      </c>
      <c r="M99" s="1">
        <v>1</v>
      </c>
      <c r="N99" s="1">
        <v>0</v>
      </c>
      <c r="O99" s="1">
        <v>0</v>
      </c>
      <c r="P99" s="1">
        <v>1</v>
      </c>
      <c r="Q99" s="1">
        <v>0</v>
      </c>
      <c r="R99" s="1">
        <v>1</v>
      </c>
      <c r="S99" s="1">
        <v>1</v>
      </c>
      <c r="T99" s="1">
        <v>0</v>
      </c>
      <c r="U99" s="1">
        <v>0</v>
      </c>
      <c r="V99" s="1">
        <v>0</v>
      </c>
      <c r="W99" s="1">
        <v>1</v>
      </c>
      <c r="X99" s="1">
        <v>1</v>
      </c>
      <c r="Y99" s="1">
        <v>1</v>
      </c>
      <c r="Z99" s="1">
        <v>0</v>
      </c>
      <c r="AA99" s="22">
        <f t="shared" si="22"/>
        <v>8</v>
      </c>
      <c r="AB99" s="1">
        <f t="shared" si="23"/>
        <v>2</v>
      </c>
      <c r="AC99" s="1">
        <f t="shared" si="24"/>
        <v>2</v>
      </c>
      <c r="AD99" s="22">
        <f t="shared" si="25"/>
        <v>12</v>
      </c>
      <c r="AE99" s="22">
        <f t="shared" si="26"/>
        <v>48</v>
      </c>
      <c r="AF99" t="str">
        <f t="shared" si="27"/>
        <v>Nivel de Autoestima Medio Bajo</v>
      </c>
      <c r="AG99" s="1">
        <f t="shared" si="21"/>
        <v>2</v>
      </c>
    </row>
    <row r="100" spans="1:33" x14ac:dyDescent="0.25">
      <c r="A100" t="s">
        <v>114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0</v>
      </c>
      <c r="K100" s="1">
        <v>1</v>
      </c>
      <c r="L100" s="1">
        <v>1</v>
      </c>
      <c r="M100" s="1">
        <v>0</v>
      </c>
      <c r="N100" s="1">
        <v>1</v>
      </c>
      <c r="O100" s="1">
        <v>0</v>
      </c>
      <c r="P100" s="1">
        <v>0</v>
      </c>
      <c r="Q100" s="1">
        <v>0</v>
      </c>
      <c r="R100" s="1">
        <v>1</v>
      </c>
      <c r="S100" s="1">
        <v>1</v>
      </c>
      <c r="T100" s="1">
        <v>1</v>
      </c>
      <c r="U100" s="1">
        <v>0</v>
      </c>
      <c r="V100" s="1">
        <v>1</v>
      </c>
      <c r="W100" s="1">
        <v>1</v>
      </c>
      <c r="X100" s="1">
        <v>1</v>
      </c>
      <c r="Y100" s="1">
        <v>1</v>
      </c>
      <c r="Z100" s="1">
        <v>0</v>
      </c>
      <c r="AA100" s="22">
        <f t="shared" si="22"/>
        <v>10</v>
      </c>
      <c r="AB100" s="1">
        <f t="shared" si="23"/>
        <v>5</v>
      </c>
      <c r="AC100" s="1">
        <f t="shared" si="24"/>
        <v>3</v>
      </c>
      <c r="AD100" s="22">
        <f t="shared" si="25"/>
        <v>18</v>
      </c>
      <c r="AE100" s="22">
        <f t="shared" si="26"/>
        <v>72</v>
      </c>
      <c r="AF100" t="str">
        <f t="shared" si="27"/>
        <v>Nivel de Autoestima Medio Alto</v>
      </c>
      <c r="AG100" s="1">
        <f t="shared" si="21"/>
        <v>3</v>
      </c>
    </row>
    <row r="101" spans="1:33" x14ac:dyDescent="0.25">
      <c r="A101" t="s">
        <v>115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1</v>
      </c>
      <c r="W101" s="1">
        <v>0</v>
      </c>
      <c r="X101" s="1">
        <v>0</v>
      </c>
      <c r="Y101" s="1">
        <v>1</v>
      </c>
      <c r="Z101" s="1">
        <v>0</v>
      </c>
      <c r="AA101" s="22">
        <f t="shared" si="22"/>
        <v>1</v>
      </c>
      <c r="AB101" s="1">
        <f t="shared" si="23"/>
        <v>1</v>
      </c>
      <c r="AC101" s="1">
        <f t="shared" si="24"/>
        <v>0</v>
      </c>
      <c r="AD101" s="22">
        <f t="shared" si="25"/>
        <v>2</v>
      </c>
      <c r="AE101" s="22">
        <f t="shared" si="26"/>
        <v>8</v>
      </c>
      <c r="AF101" t="str">
        <f t="shared" si="27"/>
        <v>Nivel de Autoestima Bajo</v>
      </c>
      <c r="AG101" s="1">
        <f t="shared" si="21"/>
        <v>1</v>
      </c>
    </row>
    <row r="102" spans="1:33" x14ac:dyDescent="0.25">
      <c r="A102" t="s">
        <v>116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0</v>
      </c>
      <c r="I102" s="1">
        <v>1</v>
      </c>
      <c r="J102" s="1">
        <v>1</v>
      </c>
      <c r="K102" s="1">
        <v>0</v>
      </c>
      <c r="L102" s="1">
        <v>0</v>
      </c>
      <c r="M102" s="1">
        <v>0</v>
      </c>
      <c r="N102" s="1">
        <v>1</v>
      </c>
      <c r="O102" s="1">
        <v>0</v>
      </c>
      <c r="P102" s="1">
        <v>0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W102" s="1">
        <v>0</v>
      </c>
      <c r="X102" s="1">
        <v>0</v>
      </c>
      <c r="Y102" s="1">
        <v>1</v>
      </c>
      <c r="Z102" s="1">
        <v>0</v>
      </c>
      <c r="AA102" s="22">
        <f t="shared" si="22"/>
        <v>7</v>
      </c>
      <c r="AB102" s="1">
        <f t="shared" si="23"/>
        <v>5</v>
      </c>
      <c r="AC102" s="1">
        <f t="shared" si="24"/>
        <v>4</v>
      </c>
      <c r="AD102" s="22">
        <f t="shared" si="25"/>
        <v>16</v>
      </c>
      <c r="AE102" s="22">
        <f t="shared" si="26"/>
        <v>64</v>
      </c>
      <c r="AF102" t="str">
        <f t="shared" si="27"/>
        <v>Nivel de Autoestima Medio Alto</v>
      </c>
      <c r="AG102" s="1">
        <f t="shared" si="21"/>
        <v>3</v>
      </c>
    </row>
    <row r="103" spans="1:33" x14ac:dyDescent="0.25">
      <c r="A103" t="s">
        <v>117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1</v>
      </c>
      <c r="Y103" s="1">
        <v>1</v>
      </c>
      <c r="Z103" s="1">
        <v>0</v>
      </c>
      <c r="AA103" s="22">
        <f t="shared" si="22"/>
        <v>2</v>
      </c>
      <c r="AB103" s="1">
        <f t="shared" si="23"/>
        <v>1</v>
      </c>
      <c r="AC103" s="1">
        <f t="shared" si="24"/>
        <v>0</v>
      </c>
      <c r="AD103" s="22">
        <f t="shared" si="25"/>
        <v>3</v>
      </c>
      <c r="AE103" s="22">
        <f t="shared" si="26"/>
        <v>12</v>
      </c>
      <c r="AF103" t="str">
        <f t="shared" si="27"/>
        <v>Nivel de Autoestima Bajo</v>
      </c>
      <c r="AG103" s="1">
        <f t="shared" si="21"/>
        <v>1</v>
      </c>
    </row>
    <row r="104" spans="1:33" x14ac:dyDescent="0.25">
      <c r="A104" t="s">
        <v>118</v>
      </c>
      <c r="B104" s="1">
        <v>1</v>
      </c>
      <c r="C104" s="1">
        <v>1</v>
      </c>
      <c r="D104" s="1">
        <v>0</v>
      </c>
      <c r="E104" s="1">
        <v>0</v>
      </c>
      <c r="F104" s="1">
        <v>1</v>
      </c>
      <c r="G104" s="1">
        <v>1</v>
      </c>
      <c r="H104" s="1">
        <v>0</v>
      </c>
      <c r="I104" s="1">
        <v>0</v>
      </c>
      <c r="J104" s="1">
        <v>1</v>
      </c>
      <c r="K104" s="1">
        <v>0</v>
      </c>
      <c r="L104" s="1">
        <v>0</v>
      </c>
      <c r="M104" s="1">
        <v>1</v>
      </c>
      <c r="N104" s="1">
        <v>1</v>
      </c>
      <c r="O104" s="1">
        <v>0</v>
      </c>
      <c r="P104" s="1">
        <v>0</v>
      </c>
      <c r="Q104" s="1">
        <v>0</v>
      </c>
      <c r="R104" s="1">
        <v>0</v>
      </c>
      <c r="S104" s="1">
        <v>1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1</v>
      </c>
      <c r="Z104" s="1">
        <v>0</v>
      </c>
      <c r="AA104" s="22">
        <f t="shared" si="22"/>
        <v>5</v>
      </c>
      <c r="AB104" s="1">
        <f t="shared" si="23"/>
        <v>2</v>
      </c>
      <c r="AC104" s="1">
        <f t="shared" si="24"/>
        <v>2</v>
      </c>
      <c r="AD104" s="22">
        <f t="shared" si="25"/>
        <v>9</v>
      </c>
      <c r="AE104" s="22">
        <f t="shared" si="26"/>
        <v>36</v>
      </c>
      <c r="AF104" t="str">
        <f t="shared" si="27"/>
        <v>Nivel de Autoestima Medio Bajo</v>
      </c>
      <c r="AG104" s="1">
        <f t="shared" si="21"/>
        <v>2</v>
      </c>
    </row>
    <row r="105" spans="1:33" x14ac:dyDescent="0.25">
      <c r="A105" t="s">
        <v>119</v>
      </c>
      <c r="B105" s="1">
        <v>1</v>
      </c>
      <c r="C105" s="1">
        <v>1</v>
      </c>
      <c r="D105" s="1">
        <v>0</v>
      </c>
      <c r="E105" s="1">
        <v>1</v>
      </c>
      <c r="F105" s="1">
        <v>1</v>
      </c>
      <c r="G105" s="1">
        <v>1</v>
      </c>
      <c r="H105" s="1">
        <v>0</v>
      </c>
      <c r="I105" s="1">
        <v>1</v>
      </c>
      <c r="J105" s="1">
        <v>1</v>
      </c>
      <c r="K105" s="1">
        <v>0</v>
      </c>
      <c r="L105" s="1">
        <v>1</v>
      </c>
      <c r="M105" s="1">
        <v>0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>
        <v>1</v>
      </c>
      <c r="T105" s="1">
        <v>0</v>
      </c>
      <c r="U105" s="1">
        <v>1</v>
      </c>
      <c r="V105" s="1">
        <v>1</v>
      </c>
      <c r="W105" s="1">
        <v>1</v>
      </c>
      <c r="X105" s="1">
        <v>1</v>
      </c>
      <c r="Y105" s="1">
        <v>1</v>
      </c>
      <c r="Z105" s="1">
        <v>0</v>
      </c>
      <c r="AA105" s="22">
        <f t="shared" si="22"/>
        <v>7</v>
      </c>
      <c r="AB105" s="1">
        <f t="shared" si="23"/>
        <v>6</v>
      </c>
      <c r="AC105" s="1">
        <f t="shared" si="24"/>
        <v>6</v>
      </c>
      <c r="AD105" s="22">
        <f t="shared" si="25"/>
        <v>19</v>
      </c>
      <c r="AE105" s="22">
        <f t="shared" si="26"/>
        <v>76</v>
      </c>
      <c r="AF105" t="str">
        <f t="shared" si="27"/>
        <v>Nivel de Autoestima Alto</v>
      </c>
      <c r="AG105" s="1">
        <f t="shared" si="21"/>
        <v>4</v>
      </c>
    </row>
    <row r="106" spans="1:33" x14ac:dyDescent="0.25">
      <c r="A106" t="s">
        <v>120</v>
      </c>
      <c r="B106" s="1">
        <v>0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0</v>
      </c>
      <c r="O106" s="1">
        <v>1</v>
      </c>
      <c r="P106" s="1">
        <v>0</v>
      </c>
      <c r="Q106" s="1">
        <v>1</v>
      </c>
      <c r="R106" s="1">
        <v>0</v>
      </c>
      <c r="S106" s="1">
        <v>1</v>
      </c>
      <c r="T106" s="1">
        <v>0</v>
      </c>
      <c r="U106" s="1">
        <v>0</v>
      </c>
      <c r="V106" s="1">
        <v>1</v>
      </c>
      <c r="W106" s="1">
        <v>1</v>
      </c>
      <c r="X106" s="1">
        <v>0</v>
      </c>
      <c r="Y106" s="1">
        <v>1</v>
      </c>
      <c r="Z106" s="1">
        <v>0</v>
      </c>
      <c r="AA106" s="22">
        <f t="shared" si="22"/>
        <v>7</v>
      </c>
      <c r="AB106" s="1">
        <f t="shared" si="23"/>
        <v>5</v>
      </c>
      <c r="AC106" s="1">
        <f t="shared" si="24"/>
        <v>5</v>
      </c>
      <c r="AD106" s="22">
        <f t="shared" si="25"/>
        <v>17</v>
      </c>
      <c r="AE106" s="22">
        <f t="shared" si="26"/>
        <v>68</v>
      </c>
      <c r="AF106" t="str">
        <f t="shared" si="27"/>
        <v>Nivel de Autoestima Medio Alto</v>
      </c>
      <c r="AG106" s="1">
        <f t="shared" si="21"/>
        <v>3</v>
      </c>
    </row>
    <row r="107" spans="1:33" x14ac:dyDescent="0.25">
      <c r="A107" t="s">
        <v>121</v>
      </c>
      <c r="B107" s="1">
        <v>0</v>
      </c>
      <c r="C107" s="1">
        <v>1</v>
      </c>
      <c r="D107" s="1">
        <v>0</v>
      </c>
      <c r="E107" s="1">
        <v>0</v>
      </c>
      <c r="F107" s="1">
        <v>1</v>
      </c>
      <c r="G107" s="1">
        <v>1</v>
      </c>
      <c r="H107" s="1">
        <v>0</v>
      </c>
      <c r="I107" s="1">
        <v>1</v>
      </c>
      <c r="J107" s="1">
        <v>1</v>
      </c>
      <c r="K107" s="1">
        <v>0</v>
      </c>
      <c r="L107" s="1">
        <v>1</v>
      </c>
      <c r="M107" s="1">
        <v>0</v>
      </c>
      <c r="N107" s="1">
        <v>0</v>
      </c>
      <c r="O107" s="1">
        <v>1</v>
      </c>
      <c r="P107" s="1">
        <v>0</v>
      </c>
      <c r="Q107" s="1">
        <v>1</v>
      </c>
      <c r="R107" s="1">
        <v>1</v>
      </c>
      <c r="S107" s="1">
        <v>1</v>
      </c>
      <c r="T107" s="1">
        <v>0</v>
      </c>
      <c r="U107" s="1">
        <v>1</v>
      </c>
      <c r="V107" s="1">
        <v>1</v>
      </c>
      <c r="W107" s="1">
        <v>1</v>
      </c>
      <c r="X107" s="1">
        <v>0</v>
      </c>
      <c r="Y107" s="1">
        <v>0</v>
      </c>
      <c r="Z107" s="1">
        <v>0</v>
      </c>
      <c r="AA107" s="22">
        <f t="shared" si="22"/>
        <v>1</v>
      </c>
      <c r="AB107" s="1">
        <f t="shared" si="23"/>
        <v>6</v>
      </c>
      <c r="AC107" s="1">
        <f t="shared" si="24"/>
        <v>6</v>
      </c>
      <c r="AD107" s="22">
        <f t="shared" si="25"/>
        <v>13</v>
      </c>
      <c r="AE107" s="22">
        <f t="shared" si="26"/>
        <v>52</v>
      </c>
      <c r="AF107" t="str">
        <f t="shared" si="27"/>
        <v>Nivel de Autoestima Medio Alto</v>
      </c>
      <c r="AG107" s="1">
        <f t="shared" si="21"/>
        <v>3</v>
      </c>
    </row>
    <row r="108" spans="1:33" x14ac:dyDescent="0.25">
      <c r="A108" t="s">
        <v>122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0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  <c r="T108" s="1">
        <v>1</v>
      </c>
      <c r="U108" s="1">
        <v>1</v>
      </c>
      <c r="V108" s="1">
        <v>1</v>
      </c>
      <c r="W108" s="1">
        <v>1</v>
      </c>
      <c r="X108" s="1">
        <v>0</v>
      </c>
      <c r="Y108" s="1">
        <v>1</v>
      </c>
      <c r="Z108" s="1">
        <v>1</v>
      </c>
      <c r="AA108" s="22">
        <f t="shared" si="22"/>
        <v>11</v>
      </c>
      <c r="AB108" s="1">
        <f t="shared" si="23"/>
        <v>6</v>
      </c>
      <c r="AC108" s="1">
        <f t="shared" si="24"/>
        <v>6</v>
      </c>
      <c r="AD108" s="22">
        <f t="shared" si="25"/>
        <v>23</v>
      </c>
      <c r="AE108" s="22">
        <f t="shared" si="26"/>
        <v>92</v>
      </c>
      <c r="AF108" t="str">
        <f t="shared" si="27"/>
        <v>Nivel de Autoestima Alto</v>
      </c>
      <c r="AG108" s="1">
        <f t="shared" si="21"/>
        <v>4</v>
      </c>
    </row>
    <row r="109" spans="1:33" x14ac:dyDescent="0.25">
      <c r="A109" t="s">
        <v>123</v>
      </c>
      <c r="B109" s="1">
        <v>0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1</v>
      </c>
      <c r="M109" s="1">
        <v>1</v>
      </c>
      <c r="N109" s="1">
        <v>1</v>
      </c>
      <c r="O109" s="1">
        <v>0</v>
      </c>
      <c r="P109" s="1">
        <v>0</v>
      </c>
      <c r="Q109" s="1">
        <v>1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22">
        <f t="shared" si="22"/>
        <v>3</v>
      </c>
      <c r="AB109" s="1">
        <f t="shared" si="23"/>
        <v>1</v>
      </c>
      <c r="AC109" s="1">
        <f t="shared" si="24"/>
        <v>2</v>
      </c>
      <c r="AD109" s="22">
        <f t="shared" si="25"/>
        <v>6</v>
      </c>
      <c r="AE109" s="22">
        <f t="shared" si="26"/>
        <v>24</v>
      </c>
      <c r="AF109" t="str">
        <f t="shared" si="27"/>
        <v>Nivel de Autoestima Bajo</v>
      </c>
      <c r="AG109" s="1">
        <f t="shared" si="21"/>
        <v>1</v>
      </c>
    </row>
    <row r="110" spans="1:33" x14ac:dyDescent="0.25">
      <c r="A110" t="s">
        <v>124</v>
      </c>
      <c r="B110" s="1">
        <v>0</v>
      </c>
      <c r="C110" s="1">
        <v>1</v>
      </c>
      <c r="D110" s="1">
        <v>0</v>
      </c>
      <c r="E110" s="1">
        <v>0</v>
      </c>
      <c r="F110" s="1">
        <v>1</v>
      </c>
      <c r="G110" s="1">
        <v>1</v>
      </c>
      <c r="H110" s="1">
        <v>0</v>
      </c>
      <c r="I110" s="1">
        <v>0</v>
      </c>
      <c r="J110" s="1">
        <v>1</v>
      </c>
      <c r="K110" s="1">
        <v>0</v>
      </c>
      <c r="L110" s="1">
        <v>1</v>
      </c>
      <c r="M110" s="1">
        <v>0</v>
      </c>
      <c r="N110" s="1">
        <v>0</v>
      </c>
      <c r="O110" s="1">
        <v>0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1</v>
      </c>
      <c r="Y110" s="1">
        <v>1</v>
      </c>
      <c r="Z110" s="1">
        <v>1</v>
      </c>
      <c r="AA110" s="22">
        <f t="shared" si="22"/>
        <v>4</v>
      </c>
      <c r="AB110" s="1">
        <f t="shared" si="23"/>
        <v>2</v>
      </c>
      <c r="AC110" s="1">
        <f t="shared" si="24"/>
        <v>3</v>
      </c>
      <c r="AD110" s="22">
        <f t="shared" si="25"/>
        <v>9</v>
      </c>
      <c r="AE110" s="22">
        <f t="shared" si="26"/>
        <v>36</v>
      </c>
      <c r="AF110" t="str">
        <f t="shared" si="27"/>
        <v>Nivel de Autoestima Medio Bajo</v>
      </c>
      <c r="AG110" s="1">
        <f t="shared" si="21"/>
        <v>2</v>
      </c>
    </row>
    <row r="111" spans="1:33" x14ac:dyDescent="0.25">
      <c r="A111" t="s">
        <v>125</v>
      </c>
      <c r="B111" s="1">
        <v>0</v>
      </c>
      <c r="C111" s="1">
        <v>1</v>
      </c>
      <c r="D111" s="1">
        <v>0</v>
      </c>
      <c r="E111" s="1">
        <v>1</v>
      </c>
      <c r="F111" s="1">
        <v>1</v>
      </c>
      <c r="G111" s="1">
        <v>1</v>
      </c>
      <c r="H111" s="1">
        <v>0</v>
      </c>
      <c r="I111" s="1">
        <v>1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0</v>
      </c>
      <c r="Q111" s="1">
        <v>1</v>
      </c>
      <c r="R111" s="1">
        <v>1</v>
      </c>
      <c r="S111" s="1">
        <v>0</v>
      </c>
      <c r="T111" s="1">
        <v>0</v>
      </c>
      <c r="U111" s="1">
        <v>1</v>
      </c>
      <c r="V111" s="1">
        <v>1</v>
      </c>
      <c r="W111" s="1">
        <v>0</v>
      </c>
      <c r="X111" s="1">
        <v>1</v>
      </c>
      <c r="Y111" s="1">
        <v>1</v>
      </c>
      <c r="Z111" s="1">
        <v>1</v>
      </c>
      <c r="AA111" s="22">
        <f t="shared" si="22"/>
        <v>4</v>
      </c>
      <c r="AB111" s="1">
        <f t="shared" si="23"/>
        <v>5</v>
      </c>
      <c r="AC111" s="1">
        <f t="shared" si="24"/>
        <v>4</v>
      </c>
      <c r="AD111" s="22">
        <f t="shared" si="25"/>
        <v>13</v>
      </c>
      <c r="AE111" s="22">
        <f t="shared" si="26"/>
        <v>52</v>
      </c>
      <c r="AF111" t="str">
        <f t="shared" si="27"/>
        <v>Nivel de Autoestima Medio Alto</v>
      </c>
      <c r="AG111" s="1">
        <f t="shared" si="21"/>
        <v>3</v>
      </c>
    </row>
    <row r="112" spans="1:33" x14ac:dyDescent="0.25">
      <c r="A112" t="s">
        <v>126</v>
      </c>
      <c r="B112" s="1">
        <v>1</v>
      </c>
      <c r="C112" s="1">
        <v>1</v>
      </c>
      <c r="D112" s="1">
        <v>0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0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1</v>
      </c>
      <c r="U112" s="1">
        <v>1</v>
      </c>
      <c r="V112" s="1">
        <v>1</v>
      </c>
      <c r="W112" s="1">
        <v>1</v>
      </c>
      <c r="X112" s="1">
        <v>1</v>
      </c>
      <c r="Y112" s="1">
        <v>1</v>
      </c>
      <c r="Z112" s="1">
        <v>0</v>
      </c>
      <c r="AA112" s="22">
        <f t="shared" si="22"/>
        <v>11</v>
      </c>
      <c r="AB112" s="1">
        <f t="shared" si="23"/>
        <v>6</v>
      </c>
      <c r="AC112" s="1">
        <f t="shared" si="24"/>
        <v>5</v>
      </c>
      <c r="AD112" s="22">
        <f t="shared" si="25"/>
        <v>22</v>
      </c>
      <c r="AE112" s="22">
        <f t="shared" si="26"/>
        <v>88</v>
      </c>
      <c r="AF112" t="str">
        <f t="shared" si="27"/>
        <v>Nivel de Autoestima Alto</v>
      </c>
      <c r="AG112" s="1">
        <f t="shared" si="21"/>
        <v>4</v>
      </c>
    </row>
    <row r="113" spans="1:33" x14ac:dyDescent="0.25">
      <c r="A113" t="s">
        <v>127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  <c r="G113" s="1">
        <v>1</v>
      </c>
      <c r="H113" s="1">
        <v>0</v>
      </c>
      <c r="I113" s="1">
        <v>1</v>
      </c>
      <c r="J113" s="1">
        <v>0</v>
      </c>
      <c r="K113" s="1">
        <v>0</v>
      </c>
      <c r="L113" s="1">
        <v>1</v>
      </c>
      <c r="M113" s="1">
        <v>1</v>
      </c>
      <c r="N113" s="1">
        <v>0</v>
      </c>
      <c r="O113" s="1">
        <v>1</v>
      </c>
      <c r="P113" s="1">
        <v>1</v>
      </c>
      <c r="Q113" s="1">
        <v>0</v>
      </c>
      <c r="R113" s="1">
        <v>1</v>
      </c>
      <c r="S113" s="1">
        <v>0</v>
      </c>
      <c r="T113" s="1">
        <v>1</v>
      </c>
      <c r="U113" s="1">
        <v>1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22">
        <f t="shared" si="22"/>
        <v>6</v>
      </c>
      <c r="AB113" s="1">
        <f t="shared" si="23"/>
        <v>5</v>
      </c>
      <c r="AC113" s="1">
        <f t="shared" si="24"/>
        <v>3</v>
      </c>
      <c r="AD113" s="22">
        <f t="shared" si="25"/>
        <v>14</v>
      </c>
      <c r="AE113" s="22">
        <f t="shared" si="26"/>
        <v>56</v>
      </c>
      <c r="AF113" t="str">
        <f t="shared" si="27"/>
        <v>Nivel de Autoestima Medio Alto</v>
      </c>
      <c r="AG113" s="1">
        <f t="shared" si="21"/>
        <v>3</v>
      </c>
    </row>
    <row r="114" spans="1:33" x14ac:dyDescent="0.25">
      <c r="A114" t="s">
        <v>128</v>
      </c>
      <c r="B114" s="1">
        <v>0</v>
      </c>
      <c r="C114" s="1">
        <v>1</v>
      </c>
      <c r="D114" s="1">
        <v>1</v>
      </c>
      <c r="E114" s="1">
        <v>0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22">
        <f t="shared" si="22"/>
        <v>1</v>
      </c>
      <c r="AB114" s="1">
        <f t="shared" si="23"/>
        <v>3</v>
      </c>
      <c r="AC114" s="1">
        <f t="shared" si="24"/>
        <v>2</v>
      </c>
      <c r="AD114" s="22">
        <f t="shared" si="25"/>
        <v>6</v>
      </c>
      <c r="AE114" s="22">
        <f t="shared" si="26"/>
        <v>24</v>
      </c>
      <c r="AF114" t="str">
        <f t="shared" si="27"/>
        <v>Nivel de Autoestima Bajo</v>
      </c>
      <c r="AG114" s="1">
        <f t="shared" si="21"/>
        <v>1</v>
      </c>
    </row>
    <row r="115" spans="1:33" x14ac:dyDescent="0.25">
      <c r="A115" t="s">
        <v>129</v>
      </c>
      <c r="B115" s="1">
        <v>1</v>
      </c>
      <c r="C115" s="1">
        <v>1</v>
      </c>
      <c r="D115" s="1">
        <v>0</v>
      </c>
      <c r="E115" s="1">
        <v>1</v>
      </c>
      <c r="F115" s="1">
        <v>1</v>
      </c>
      <c r="G115" s="1">
        <v>1</v>
      </c>
      <c r="H115" s="1">
        <v>1</v>
      </c>
      <c r="I115" s="1">
        <v>0</v>
      </c>
      <c r="J115" s="1">
        <v>1</v>
      </c>
      <c r="K115" s="1">
        <v>0</v>
      </c>
      <c r="L115" s="1">
        <v>1</v>
      </c>
      <c r="M115" s="1">
        <v>0</v>
      </c>
      <c r="N115" s="1">
        <v>1</v>
      </c>
      <c r="O115" s="1">
        <v>1</v>
      </c>
      <c r="P115" s="1">
        <v>0</v>
      </c>
      <c r="Q115" s="1">
        <v>1</v>
      </c>
      <c r="R115" s="1">
        <v>1</v>
      </c>
      <c r="S115" s="1">
        <v>1</v>
      </c>
      <c r="T115" s="1">
        <v>0</v>
      </c>
      <c r="U115" s="1">
        <v>1</v>
      </c>
      <c r="V115" s="1">
        <v>1</v>
      </c>
      <c r="W115" s="1">
        <v>0</v>
      </c>
      <c r="X115" s="1">
        <v>1</v>
      </c>
      <c r="Y115" s="1">
        <v>0</v>
      </c>
      <c r="Z115" s="1">
        <v>1</v>
      </c>
      <c r="AA115" s="22">
        <f t="shared" si="22"/>
        <v>7</v>
      </c>
      <c r="AB115" s="1">
        <f t="shared" si="23"/>
        <v>5</v>
      </c>
      <c r="AC115" s="1">
        <f t="shared" si="24"/>
        <v>5</v>
      </c>
      <c r="AD115" s="22">
        <f t="shared" si="25"/>
        <v>17</v>
      </c>
      <c r="AE115" s="22">
        <f t="shared" si="26"/>
        <v>68</v>
      </c>
      <c r="AF115" t="str">
        <f t="shared" si="27"/>
        <v>Nivel de Autoestima Medio Alto</v>
      </c>
      <c r="AG115" s="1">
        <f t="shared" si="21"/>
        <v>3</v>
      </c>
    </row>
    <row r="116" spans="1:33" x14ac:dyDescent="0.25">
      <c r="A116" t="s">
        <v>130</v>
      </c>
      <c r="B116" s="1">
        <v>1</v>
      </c>
      <c r="C116" s="1">
        <v>1</v>
      </c>
      <c r="D116" s="1">
        <v>0</v>
      </c>
      <c r="E116" s="1">
        <v>1</v>
      </c>
      <c r="F116" s="1">
        <v>1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1</v>
      </c>
      <c r="N116" s="1">
        <v>0</v>
      </c>
      <c r="O116" s="1">
        <v>0</v>
      </c>
      <c r="P116" s="1">
        <v>1</v>
      </c>
      <c r="Q116" s="1">
        <v>0</v>
      </c>
      <c r="R116" s="1">
        <v>1</v>
      </c>
      <c r="S116" s="1">
        <v>1</v>
      </c>
      <c r="T116" s="1">
        <v>0</v>
      </c>
      <c r="U116" s="1">
        <v>1</v>
      </c>
      <c r="V116" s="1">
        <v>1</v>
      </c>
      <c r="W116" s="1">
        <v>0</v>
      </c>
      <c r="X116" s="1">
        <v>0</v>
      </c>
      <c r="Y116" s="1">
        <v>1</v>
      </c>
      <c r="Z116" s="1">
        <v>0</v>
      </c>
      <c r="AA116" s="22">
        <f t="shared" si="22"/>
        <v>6</v>
      </c>
      <c r="AB116" s="1">
        <f t="shared" si="23"/>
        <v>4</v>
      </c>
      <c r="AC116" s="1">
        <f t="shared" si="24"/>
        <v>3</v>
      </c>
      <c r="AD116" s="22">
        <f t="shared" si="25"/>
        <v>13</v>
      </c>
      <c r="AE116" s="22">
        <f t="shared" si="26"/>
        <v>52</v>
      </c>
      <c r="AF116" t="str">
        <f t="shared" si="27"/>
        <v>Nivel de Autoestima Medio Alto</v>
      </c>
      <c r="AG116" s="1">
        <f t="shared" si="21"/>
        <v>3</v>
      </c>
    </row>
    <row r="117" spans="1:33" x14ac:dyDescent="0.25">
      <c r="A117" t="s">
        <v>131</v>
      </c>
      <c r="B117" s="1">
        <v>0</v>
      </c>
      <c r="C117" s="1">
        <v>0</v>
      </c>
      <c r="D117" s="1">
        <v>0</v>
      </c>
      <c r="E117" s="1">
        <v>1</v>
      </c>
      <c r="F117" s="1">
        <v>0</v>
      </c>
      <c r="G117" s="1">
        <v>0</v>
      </c>
      <c r="H117" s="1">
        <v>0</v>
      </c>
      <c r="I117" s="1">
        <v>1</v>
      </c>
      <c r="J117" s="1">
        <v>0</v>
      </c>
      <c r="K117" s="1">
        <v>0</v>
      </c>
      <c r="L117" s="1">
        <v>1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22">
        <f t="shared" si="22"/>
        <v>1</v>
      </c>
      <c r="AB117" s="1">
        <f t="shared" si="23"/>
        <v>1</v>
      </c>
      <c r="AC117" s="1">
        <f t="shared" si="24"/>
        <v>1</v>
      </c>
      <c r="AD117" s="22">
        <f t="shared" si="25"/>
        <v>3</v>
      </c>
      <c r="AE117" s="22">
        <f t="shared" si="26"/>
        <v>12</v>
      </c>
      <c r="AF117" t="str">
        <f t="shared" si="27"/>
        <v>Nivel de Autoestima Bajo</v>
      </c>
      <c r="AG117" s="1">
        <f t="shared" si="21"/>
        <v>1</v>
      </c>
    </row>
    <row r="118" spans="1:33" x14ac:dyDescent="0.25">
      <c r="A118" t="s">
        <v>132</v>
      </c>
      <c r="B118" s="1">
        <v>1</v>
      </c>
      <c r="C118" s="1">
        <v>1</v>
      </c>
      <c r="D118" s="1">
        <v>0</v>
      </c>
      <c r="E118" s="1">
        <v>1</v>
      </c>
      <c r="F118" s="1">
        <v>1</v>
      </c>
      <c r="G118" s="1">
        <v>1</v>
      </c>
      <c r="H118" s="1">
        <v>0</v>
      </c>
      <c r="I118" s="1">
        <v>1</v>
      </c>
      <c r="J118" s="1">
        <v>1</v>
      </c>
      <c r="K118" s="1">
        <v>0</v>
      </c>
      <c r="L118" s="1">
        <v>1</v>
      </c>
      <c r="M118" s="1">
        <v>1</v>
      </c>
      <c r="N118" s="1">
        <v>0</v>
      </c>
      <c r="O118" s="1">
        <v>1</v>
      </c>
      <c r="P118" s="1">
        <v>0</v>
      </c>
      <c r="Q118" s="1">
        <v>1</v>
      </c>
      <c r="R118" s="1">
        <v>1</v>
      </c>
      <c r="S118" s="1">
        <v>1</v>
      </c>
      <c r="T118" s="1">
        <v>1</v>
      </c>
      <c r="U118" s="1">
        <v>1</v>
      </c>
      <c r="V118" s="1">
        <v>1</v>
      </c>
      <c r="W118" s="1">
        <v>1</v>
      </c>
      <c r="X118" s="1">
        <v>0</v>
      </c>
      <c r="Y118" s="1">
        <v>1</v>
      </c>
      <c r="Z118" s="1">
        <v>1</v>
      </c>
      <c r="AA118" s="22">
        <f t="shared" si="22"/>
        <v>7</v>
      </c>
      <c r="AB118" s="1">
        <f t="shared" si="23"/>
        <v>6</v>
      </c>
      <c r="AC118" s="1">
        <f t="shared" si="24"/>
        <v>6</v>
      </c>
      <c r="AD118" s="22">
        <f t="shared" si="25"/>
        <v>19</v>
      </c>
      <c r="AE118" s="22">
        <f t="shared" si="26"/>
        <v>76</v>
      </c>
      <c r="AF118" t="str">
        <f t="shared" si="27"/>
        <v>Nivel de Autoestima Alto</v>
      </c>
      <c r="AG118" s="1">
        <f t="shared" si="21"/>
        <v>4</v>
      </c>
    </row>
    <row r="119" spans="1:33" x14ac:dyDescent="0.25">
      <c r="A119" t="s">
        <v>133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</v>
      </c>
      <c r="S119" s="1">
        <v>1</v>
      </c>
      <c r="T119" s="1">
        <v>0</v>
      </c>
      <c r="U119" s="1">
        <v>0</v>
      </c>
      <c r="V119" s="1">
        <v>1</v>
      </c>
      <c r="W119" s="1">
        <v>0</v>
      </c>
      <c r="X119" s="1">
        <v>1</v>
      </c>
      <c r="Y119" s="1">
        <v>1</v>
      </c>
      <c r="Z119" s="1">
        <v>0</v>
      </c>
      <c r="AA119" s="22">
        <f t="shared" si="22"/>
        <v>3</v>
      </c>
      <c r="AB119" s="1">
        <f t="shared" si="23"/>
        <v>2</v>
      </c>
      <c r="AC119" s="1">
        <f t="shared" si="24"/>
        <v>0</v>
      </c>
      <c r="AD119" s="22">
        <f t="shared" si="25"/>
        <v>5</v>
      </c>
      <c r="AE119" s="22">
        <f t="shared" si="26"/>
        <v>20</v>
      </c>
      <c r="AF119" t="str">
        <f t="shared" si="27"/>
        <v>Nivel de Autoestima Bajo</v>
      </c>
      <c r="AG119" s="1">
        <f t="shared" si="21"/>
        <v>1</v>
      </c>
    </row>
    <row r="120" spans="1:33" x14ac:dyDescent="0.25">
      <c r="A120" t="s">
        <v>134</v>
      </c>
      <c r="B120" s="1">
        <v>0</v>
      </c>
      <c r="C120" s="1">
        <v>1</v>
      </c>
      <c r="D120" s="1">
        <v>0</v>
      </c>
      <c r="E120" s="1">
        <v>0</v>
      </c>
      <c r="F120" s="1">
        <v>1</v>
      </c>
      <c r="G120" s="1">
        <v>0</v>
      </c>
      <c r="H120" s="1">
        <v>0</v>
      </c>
      <c r="I120" s="1">
        <v>0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1</v>
      </c>
      <c r="Q120" s="1">
        <v>1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22">
        <f t="shared" si="22"/>
        <v>1</v>
      </c>
      <c r="AB120" s="1">
        <f t="shared" si="23"/>
        <v>2</v>
      </c>
      <c r="AC120" s="1">
        <f t="shared" si="24"/>
        <v>2</v>
      </c>
      <c r="AD120" s="22">
        <f t="shared" si="25"/>
        <v>5</v>
      </c>
      <c r="AE120" s="22">
        <f t="shared" si="26"/>
        <v>20</v>
      </c>
      <c r="AF120" t="str">
        <f t="shared" si="27"/>
        <v>Nivel de Autoestima Bajo</v>
      </c>
      <c r="AG120" s="1">
        <f t="shared" si="21"/>
        <v>1</v>
      </c>
    </row>
    <row r="121" spans="1:33" x14ac:dyDescent="0.25">
      <c r="A121" t="s">
        <v>135</v>
      </c>
      <c r="B121" s="1">
        <v>1</v>
      </c>
      <c r="C121" s="1">
        <v>1</v>
      </c>
      <c r="D121" s="1">
        <v>0</v>
      </c>
      <c r="E121" s="1">
        <v>1</v>
      </c>
      <c r="F121" s="1">
        <v>1</v>
      </c>
      <c r="G121" s="1">
        <v>1</v>
      </c>
      <c r="H121" s="1">
        <v>0</v>
      </c>
      <c r="I121" s="1">
        <v>0</v>
      </c>
      <c r="J121" s="1">
        <v>1</v>
      </c>
      <c r="K121" s="1">
        <v>1</v>
      </c>
      <c r="L121" s="1">
        <v>1</v>
      </c>
      <c r="M121" s="1">
        <v>0</v>
      </c>
      <c r="N121" s="1">
        <v>1</v>
      </c>
      <c r="O121" s="1">
        <v>0</v>
      </c>
      <c r="P121" s="1">
        <v>1</v>
      </c>
      <c r="Q121" s="1">
        <v>1</v>
      </c>
      <c r="R121" s="1">
        <v>1</v>
      </c>
      <c r="S121" s="1">
        <v>0</v>
      </c>
      <c r="T121" s="1">
        <v>1</v>
      </c>
      <c r="U121" s="1">
        <v>0</v>
      </c>
      <c r="V121" s="1">
        <v>1</v>
      </c>
      <c r="W121" s="1">
        <v>1</v>
      </c>
      <c r="X121" s="1">
        <v>1</v>
      </c>
      <c r="Y121" s="1">
        <v>0</v>
      </c>
      <c r="Z121" s="1">
        <v>1</v>
      </c>
      <c r="AA121" s="22">
        <f t="shared" si="22"/>
        <v>8</v>
      </c>
      <c r="AB121" s="1">
        <f t="shared" si="23"/>
        <v>4</v>
      </c>
      <c r="AC121" s="1">
        <f t="shared" si="24"/>
        <v>5</v>
      </c>
      <c r="AD121" s="22">
        <f t="shared" si="25"/>
        <v>17</v>
      </c>
      <c r="AE121" s="22">
        <f t="shared" si="26"/>
        <v>68</v>
      </c>
      <c r="AF121" t="str">
        <f t="shared" si="27"/>
        <v>Nivel de Autoestima Medio Alto</v>
      </c>
      <c r="AG121" s="1">
        <f t="shared" si="21"/>
        <v>3</v>
      </c>
    </row>
    <row r="122" spans="1:33" x14ac:dyDescent="0.25">
      <c r="A122" t="s">
        <v>136</v>
      </c>
      <c r="B122" s="1">
        <v>1</v>
      </c>
      <c r="C122" s="1">
        <v>0</v>
      </c>
      <c r="D122" s="1">
        <v>1</v>
      </c>
      <c r="E122" s="1">
        <v>1</v>
      </c>
      <c r="F122" s="1">
        <v>0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1</v>
      </c>
      <c r="M122" s="1">
        <v>1</v>
      </c>
      <c r="N122" s="1">
        <v>0</v>
      </c>
      <c r="O122" s="1">
        <v>0</v>
      </c>
      <c r="P122" s="1">
        <v>1</v>
      </c>
      <c r="Q122" s="1">
        <v>0</v>
      </c>
      <c r="R122" s="1">
        <v>0</v>
      </c>
      <c r="S122" s="1">
        <v>1</v>
      </c>
      <c r="T122" s="1">
        <v>0</v>
      </c>
      <c r="U122" s="1">
        <v>0</v>
      </c>
      <c r="V122" s="1">
        <v>0</v>
      </c>
      <c r="W122" s="1">
        <v>1</v>
      </c>
      <c r="X122" s="1">
        <v>1</v>
      </c>
      <c r="Y122" s="1">
        <v>1</v>
      </c>
      <c r="Z122" s="1">
        <v>1</v>
      </c>
      <c r="AA122" s="22">
        <f t="shared" si="22"/>
        <v>9</v>
      </c>
      <c r="AB122" s="1">
        <f t="shared" si="23"/>
        <v>1</v>
      </c>
      <c r="AC122" s="1">
        <f t="shared" si="24"/>
        <v>2</v>
      </c>
      <c r="AD122" s="22">
        <f t="shared" si="25"/>
        <v>12</v>
      </c>
      <c r="AE122" s="22">
        <f t="shared" si="26"/>
        <v>48</v>
      </c>
      <c r="AF122" t="str">
        <f t="shared" si="27"/>
        <v>Nivel de Autoestima Medio Bajo</v>
      </c>
      <c r="AG122" s="1">
        <f t="shared" si="21"/>
        <v>2</v>
      </c>
    </row>
    <row r="123" spans="1:33" x14ac:dyDescent="0.25">
      <c r="A123" t="s">
        <v>137</v>
      </c>
      <c r="B123" s="1">
        <v>0</v>
      </c>
      <c r="C123" s="1">
        <v>1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1">
        <v>0</v>
      </c>
      <c r="J123" s="1">
        <v>0</v>
      </c>
      <c r="K123" s="1">
        <v>1</v>
      </c>
      <c r="L123" s="1">
        <v>1</v>
      </c>
      <c r="M123" s="1">
        <v>0</v>
      </c>
      <c r="N123" s="1">
        <v>1</v>
      </c>
      <c r="O123" s="1">
        <v>0</v>
      </c>
      <c r="P123" s="1">
        <v>0</v>
      </c>
      <c r="Q123" s="1">
        <v>1</v>
      </c>
      <c r="R123" s="1">
        <v>1</v>
      </c>
      <c r="S123" s="1">
        <v>1</v>
      </c>
      <c r="T123" s="1">
        <v>1</v>
      </c>
      <c r="U123" s="1">
        <v>0</v>
      </c>
      <c r="V123" s="1">
        <v>0</v>
      </c>
      <c r="W123" s="1">
        <v>1</v>
      </c>
      <c r="X123" s="1">
        <v>1</v>
      </c>
      <c r="Y123" s="1">
        <v>1</v>
      </c>
      <c r="Z123" s="1">
        <v>1</v>
      </c>
      <c r="AA123" s="22">
        <f t="shared" si="22"/>
        <v>8</v>
      </c>
      <c r="AB123" s="1">
        <f t="shared" si="23"/>
        <v>2</v>
      </c>
      <c r="AC123" s="1">
        <f t="shared" si="24"/>
        <v>3</v>
      </c>
      <c r="AD123" s="22">
        <f t="shared" si="25"/>
        <v>13</v>
      </c>
      <c r="AE123" s="22">
        <f t="shared" si="26"/>
        <v>52</v>
      </c>
      <c r="AF123" t="str">
        <f t="shared" si="27"/>
        <v>Nivel de Autoestima Medio Alto</v>
      </c>
      <c r="AG123" s="1">
        <f t="shared" si="21"/>
        <v>3</v>
      </c>
    </row>
    <row r="124" spans="1:33" x14ac:dyDescent="0.25">
      <c r="A124" t="s">
        <v>138</v>
      </c>
      <c r="B124" s="1">
        <v>0</v>
      </c>
      <c r="C124" s="1">
        <v>0</v>
      </c>
      <c r="D124" s="1">
        <v>0</v>
      </c>
      <c r="E124" s="1">
        <v>0</v>
      </c>
      <c r="F124" s="1">
        <v>1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1</v>
      </c>
      <c r="X124" s="1">
        <v>0</v>
      </c>
      <c r="Y124" s="1">
        <v>0</v>
      </c>
      <c r="Z124" s="1">
        <v>1</v>
      </c>
      <c r="AA124" s="22">
        <f t="shared" si="22"/>
        <v>1</v>
      </c>
      <c r="AB124" s="1">
        <f t="shared" si="23"/>
        <v>1</v>
      </c>
      <c r="AC124" s="1">
        <f t="shared" si="24"/>
        <v>2</v>
      </c>
      <c r="AD124" s="22">
        <f t="shared" si="25"/>
        <v>4</v>
      </c>
      <c r="AE124" s="22">
        <f t="shared" si="26"/>
        <v>16</v>
      </c>
      <c r="AF124" t="str">
        <f t="shared" si="27"/>
        <v>Nivel de Autoestima Bajo</v>
      </c>
      <c r="AG124" s="1">
        <f t="shared" si="21"/>
        <v>1</v>
      </c>
    </row>
    <row r="125" spans="1:33" x14ac:dyDescent="0.25">
      <c r="A125" t="s">
        <v>139</v>
      </c>
      <c r="B125" s="1">
        <v>1</v>
      </c>
      <c r="C125" s="1">
        <v>0</v>
      </c>
      <c r="D125" s="1">
        <v>0</v>
      </c>
      <c r="E125" s="1">
        <v>1</v>
      </c>
      <c r="F125" s="1">
        <v>0</v>
      </c>
      <c r="G125" s="1">
        <v>0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  <c r="M125" s="1">
        <v>0</v>
      </c>
      <c r="N125" s="1">
        <v>0</v>
      </c>
      <c r="O125" s="1">
        <v>1</v>
      </c>
      <c r="P125" s="1">
        <v>1</v>
      </c>
      <c r="Q125" s="1">
        <v>0</v>
      </c>
      <c r="R125" s="1">
        <v>1</v>
      </c>
      <c r="S125" s="1">
        <v>1</v>
      </c>
      <c r="T125" s="1">
        <v>1</v>
      </c>
      <c r="U125" s="1">
        <v>0</v>
      </c>
      <c r="V125" s="1">
        <v>1</v>
      </c>
      <c r="W125" s="1">
        <v>1</v>
      </c>
      <c r="X125" s="1">
        <v>0</v>
      </c>
      <c r="Y125" s="1">
        <v>0</v>
      </c>
      <c r="Z125" s="1">
        <v>1</v>
      </c>
      <c r="AA125" s="22">
        <f t="shared" si="22"/>
        <v>8</v>
      </c>
      <c r="AB125" s="1">
        <f t="shared" si="23"/>
        <v>4</v>
      </c>
      <c r="AC125" s="1">
        <f t="shared" si="24"/>
        <v>3</v>
      </c>
      <c r="AD125" s="22">
        <f t="shared" si="25"/>
        <v>15</v>
      </c>
      <c r="AE125" s="22">
        <f t="shared" si="26"/>
        <v>60</v>
      </c>
      <c r="AF125" t="str">
        <f t="shared" si="27"/>
        <v>Nivel de Autoestima Medio Alto</v>
      </c>
      <c r="AG125" s="1">
        <f t="shared" si="21"/>
        <v>3</v>
      </c>
    </row>
    <row r="126" spans="1:33" x14ac:dyDescent="0.25">
      <c r="A126" t="s">
        <v>140</v>
      </c>
      <c r="B126" s="1">
        <v>1</v>
      </c>
      <c r="C126" s="1">
        <v>1</v>
      </c>
      <c r="D126" s="1">
        <v>0</v>
      </c>
      <c r="E126" s="1">
        <v>0</v>
      </c>
      <c r="F126" s="1">
        <v>0</v>
      </c>
      <c r="G126" s="1">
        <v>1</v>
      </c>
      <c r="H126" s="1">
        <v>0</v>
      </c>
      <c r="I126" s="1">
        <v>1</v>
      </c>
      <c r="J126" s="1">
        <v>1</v>
      </c>
      <c r="K126" s="1">
        <v>0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1">
        <v>1</v>
      </c>
      <c r="T126" s="1">
        <v>0</v>
      </c>
      <c r="U126" s="1">
        <v>1</v>
      </c>
      <c r="V126" s="1">
        <v>0</v>
      </c>
      <c r="W126" s="1">
        <v>1</v>
      </c>
      <c r="X126" s="1">
        <v>0</v>
      </c>
      <c r="Y126" s="1">
        <v>0</v>
      </c>
      <c r="Z126" s="1">
        <v>1</v>
      </c>
      <c r="AA126" s="22">
        <f t="shared" si="22"/>
        <v>6</v>
      </c>
      <c r="AB126" s="1">
        <f t="shared" si="23"/>
        <v>4</v>
      </c>
      <c r="AC126" s="1">
        <f t="shared" si="24"/>
        <v>6</v>
      </c>
      <c r="AD126" s="22">
        <f t="shared" si="25"/>
        <v>16</v>
      </c>
      <c r="AE126" s="22">
        <f t="shared" si="26"/>
        <v>64</v>
      </c>
      <c r="AF126" t="str">
        <f t="shared" si="27"/>
        <v>Nivel de Autoestima Medio Alto</v>
      </c>
      <c r="AG126" s="1">
        <f t="shared" si="21"/>
        <v>3</v>
      </c>
    </row>
    <row r="127" spans="1:33" x14ac:dyDescent="0.25">
      <c r="A127" t="s">
        <v>141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  <c r="G127" s="1">
        <v>1</v>
      </c>
      <c r="H127" s="1">
        <v>0</v>
      </c>
      <c r="I127" s="1">
        <v>1</v>
      </c>
      <c r="J127" s="1">
        <v>1</v>
      </c>
      <c r="K127" s="1">
        <v>1</v>
      </c>
      <c r="L127" s="1">
        <v>1</v>
      </c>
      <c r="M127" s="1">
        <v>0</v>
      </c>
      <c r="N127" s="1">
        <v>0</v>
      </c>
      <c r="O127" s="1">
        <v>1</v>
      </c>
      <c r="P127" s="1">
        <v>0</v>
      </c>
      <c r="Q127" s="1">
        <v>1</v>
      </c>
      <c r="R127" s="1">
        <v>1</v>
      </c>
      <c r="S127" s="1">
        <v>0</v>
      </c>
      <c r="T127" s="1">
        <v>0</v>
      </c>
      <c r="U127" s="1">
        <v>1</v>
      </c>
      <c r="V127" s="1">
        <v>0</v>
      </c>
      <c r="W127" s="1">
        <v>1</v>
      </c>
      <c r="X127" s="1">
        <v>0</v>
      </c>
      <c r="Y127" s="1">
        <v>0</v>
      </c>
      <c r="Z127" s="1">
        <v>1</v>
      </c>
      <c r="AA127" s="22">
        <f t="shared" si="22"/>
        <v>5</v>
      </c>
      <c r="AB127" s="1">
        <f t="shared" si="23"/>
        <v>5</v>
      </c>
      <c r="AC127" s="1">
        <f t="shared" si="24"/>
        <v>6</v>
      </c>
      <c r="AD127" s="22">
        <f t="shared" si="25"/>
        <v>16</v>
      </c>
      <c r="AE127" s="22">
        <f t="shared" si="26"/>
        <v>64</v>
      </c>
      <c r="AF127" t="str">
        <f t="shared" si="27"/>
        <v>Nivel de Autoestima Medio Alto</v>
      </c>
      <c r="AG127" s="1">
        <f t="shared" si="21"/>
        <v>3</v>
      </c>
    </row>
    <row r="128" spans="1:33" x14ac:dyDescent="0.25">
      <c r="A128" t="s">
        <v>142</v>
      </c>
      <c r="B128" s="1">
        <v>1</v>
      </c>
      <c r="C128" s="1">
        <v>0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 s="1">
        <v>1</v>
      </c>
      <c r="S128" s="1">
        <v>0</v>
      </c>
      <c r="T128" s="1">
        <v>1</v>
      </c>
      <c r="U128" s="1">
        <v>1</v>
      </c>
      <c r="V128" s="1">
        <v>1</v>
      </c>
      <c r="W128" s="1">
        <v>1</v>
      </c>
      <c r="X128" s="1">
        <v>1</v>
      </c>
      <c r="Y128" s="1">
        <v>1</v>
      </c>
      <c r="Z128" s="1">
        <v>1</v>
      </c>
      <c r="AA128" s="22">
        <f t="shared" si="22"/>
        <v>12</v>
      </c>
      <c r="AB128" s="1">
        <f t="shared" si="23"/>
        <v>5</v>
      </c>
      <c r="AC128" s="1">
        <f t="shared" si="24"/>
        <v>6</v>
      </c>
      <c r="AD128" s="22">
        <f t="shared" si="25"/>
        <v>23</v>
      </c>
      <c r="AE128" s="22">
        <f t="shared" si="26"/>
        <v>92</v>
      </c>
      <c r="AF128" t="str">
        <f t="shared" si="27"/>
        <v>Nivel de Autoestima Alto</v>
      </c>
      <c r="AG128" s="1">
        <f t="shared" si="21"/>
        <v>4</v>
      </c>
    </row>
    <row r="129" spans="1:33" x14ac:dyDescent="0.25">
      <c r="A129" t="s">
        <v>143</v>
      </c>
      <c r="B129" s="1">
        <v>1</v>
      </c>
      <c r="C129" s="1">
        <v>1</v>
      </c>
      <c r="D129" s="1">
        <v>1</v>
      </c>
      <c r="E129" s="1">
        <v>0</v>
      </c>
      <c r="F129" s="1">
        <v>1</v>
      </c>
      <c r="G129" s="1">
        <v>1</v>
      </c>
      <c r="H129" s="1">
        <v>0</v>
      </c>
      <c r="I129" s="1">
        <v>1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1</v>
      </c>
      <c r="P129" s="1">
        <v>1</v>
      </c>
      <c r="Q129" s="1">
        <v>1</v>
      </c>
      <c r="R129" s="1">
        <v>1</v>
      </c>
      <c r="S129" s="1">
        <v>0</v>
      </c>
      <c r="T129" s="1">
        <v>1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1</v>
      </c>
      <c r="AA129" s="22">
        <f t="shared" si="22"/>
        <v>10</v>
      </c>
      <c r="AB129" s="1">
        <f t="shared" si="23"/>
        <v>6</v>
      </c>
      <c r="AC129" s="1">
        <f t="shared" si="24"/>
        <v>6</v>
      </c>
      <c r="AD129" s="22">
        <f t="shared" si="25"/>
        <v>22</v>
      </c>
      <c r="AE129" s="22">
        <f t="shared" si="26"/>
        <v>88</v>
      </c>
      <c r="AF129" t="str">
        <f t="shared" si="27"/>
        <v>Nivel de Autoestima Alto</v>
      </c>
      <c r="AG129" s="1">
        <f t="shared" si="21"/>
        <v>4</v>
      </c>
    </row>
    <row r="130" spans="1:33" x14ac:dyDescent="0.25">
      <c r="A130" t="s">
        <v>144</v>
      </c>
      <c r="B130" s="1">
        <v>1</v>
      </c>
      <c r="C130" s="1">
        <v>1</v>
      </c>
      <c r="D130" s="1">
        <v>0</v>
      </c>
      <c r="E130" s="1">
        <v>0</v>
      </c>
      <c r="F130" s="1">
        <v>1</v>
      </c>
      <c r="G130" s="1">
        <v>0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  <c r="M130" s="1">
        <v>0</v>
      </c>
      <c r="N130" s="1">
        <v>0</v>
      </c>
      <c r="O130" s="1">
        <v>0</v>
      </c>
      <c r="P130" s="1">
        <v>0</v>
      </c>
      <c r="Q130" s="1">
        <v>1</v>
      </c>
      <c r="R130" s="1">
        <v>1</v>
      </c>
      <c r="S130" s="1">
        <v>0</v>
      </c>
      <c r="T130" s="1">
        <v>0</v>
      </c>
      <c r="U130" s="1">
        <v>0</v>
      </c>
      <c r="V130" s="1">
        <v>1</v>
      </c>
      <c r="W130" s="1">
        <v>1</v>
      </c>
      <c r="X130" s="1">
        <v>0</v>
      </c>
      <c r="Y130" s="1">
        <v>1</v>
      </c>
      <c r="Z130" s="1">
        <v>1</v>
      </c>
      <c r="AA130" s="22">
        <f t="shared" ref="AA130:AA161" si="28">SUM(B130,D130,E130,H130,K130,M130,N130,P130,S130,T130,X130,Y130,Z130)</f>
        <v>5</v>
      </c>
      <c r="AB130" s="1">
        <f t="shared" ref="AB130:AB161" si="29">SUM(C130,F130,I130,O130,R130,V130)</f>
        <v>5</v>
      </c>
      <c r="AC130" s="1">
        <f t="shared" ref="AC130:AC161" si="30">SUM(G130,J130,L130,Q130,U130,W130)</f>
        <v>4</v>
      </c>
      <c r="AD130" s="22">
        <f t="shared" ref="AD130:AD161" si="31">SUM(AA130:AC130)</f>
        <v>14</v>
      </c>
      <c r="AE130" s="22">
        <f t="shared" ref="AE130:AE161" si="32">AD130*4</f>
        <v>56</v>
      </c>
      <c r="AF130" t="str">
        <f t="shared" ref="AF130:AF161" si="33">IF(AE130&lt;=$AL$3,$AJ$3,IF(AE130&lt;=$AL$4,$AJ$4,IF(AE130&lt;=$AL$5,$AJ$5,IF(AE130&lt;=$AL$6,$AJ$6,"erik"))))</f>
        <v>Nivel de Autoestima Medio Alto</v>
      </c>
      <c r="AG130" s="1">
        <f t="shared" si="21"/>
        <v>3</v>
      </c>
    </row>
    <row r="131" spans="1:33" x14ac:dyDescent="0.25">
      <c r="A131" t="s">
        <v>145</v>
      </c>
      <c r="B131" s="1">
        <v>0</v>
      </c>
      <c r="C131" s="1">
        <v>1</v>
      </c>
      <c r="D131" s="1">
        <v>1</v>
      </c>
      <c r="E131" s="1">
        <v>1</v>
      </c>
      <c r="F131" s="1">
        <v>0</v>
      </c>
      <c r="G131" s="1">
        <v>0</v>
      </c>
      <c r="H131" s="1">
        <v>0</v>
      </c>
      <c r="I131" s="1">
        <v>1</v>
      </c>
      <c r="J131" s="1">
        <v>1</v>
      </c>
      <c r="K131" s="1">
        <v>0</v>
      </c>
      <c r="L131" s="1">
        <v>1</v>
      </c>
      <c r="M131" s="1">
        <v>0</v>
      </c>
      <c r="N131" s="1">
        <v>0</v>
      </c>
      <c r="O131" s="1">
        <v>1</v>
      </c>
      <c r="P131" s="1">
        <v>1</v>
      </c>
      <c r="Q131" s="1">
        <v>1</v>
      </c>
      <c r="R131" s="1">
        <v>1</v>
      </c>
      <c r="S131" s="1">
        <v>1</v>
      </c>
      <c r="T131" s="1">
        <v>0</v>
      </c>
      <c r="U131" s="1">
        <v>1</v>
      </c>
      <c r="V131" s="1">
        <v>1</v>
      </c>
      <c r="W131" s="1">
        <v>0</v>
      </c>
      <c r="X131" s="1">
        <v>0</v>
      </c>
      <c r="Y131" s="1">
        <v>1</v>
      </c>
      <c r="Z131" s="1">
        <v>0</v>
      </c>
      <c r="AA131" s="22">
        <f t="shared" si="28"/>
        <v>5</v>
      </c>
      <c r="AB131" s="1">
        <f t="shared" si="29"/>
        <v>5</v>
      </c>
      <c r="AC131" s="1">
        <f t="shared" si="30"/>
        <v>4</v>
      </c>
      <c r="AD131" s="22">
        <f t="shared" si="31"/>
        <v>14</v>
      </c>
      <c r="AE131" s="22">
        <f t="shared" si="32"/>
        <v>56</v>
      </c>
      <c r="AF131" t="str">
        <f t="shared" si="33"/>
        <v>Nivel de Autoestima Medio Alto</v>
      </c>
      <c r="AG131" s="1">
        <f t="shared" ref="AG131:AG184" si="34">IF(AF131=$AJ$3,$AI$3,IF(AF131=$AJ$4,$AI$4,IF(AF131=$AJ$5,$AI$5,IF(AF131=$AJ$6,$AI$6,"erik"))))</f>
        <v>3</v>
      </c>
    </row>
    <row r="132" spans="1:33" x14ac:dyDescent="0.25">
      <c r="A132" t="s">
        <v>146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1</v>
      </c>
      <c r="T132" s="1">
        <v>0</v>
      </c>
      <c r="U132" s="1">
        <v>1</v>
      </c>
      <c r="V132" s="1">
        <v>1</v>
      </c>
      <c r="W132" s="1">
        <v>0</v>
      </c>
      <c r="X132" s="1">
        <v>0</v>
      </c>
      <c r="Y132" s="1">
        <v>1</v>
      </c>
      <c r="Z132" s="1">
        <v>1</v>
      </c>
      <c r="AA132" s="22">
        <f t="shared" si="28"/>
        <v>11</v>
      </c>
      <c r="AB132" s="1">
        <f t="shared" si="29"/>
        <v>6</v>
      </c>
      <c r="AC132" s="1">
        <f t="shared" si="30"/>
        <v>5</v>
      </c>
      <c r="AD132" s="22">
        <f t="shared" si="31"/>
        <v>22</v>
      </c>
      <c r="AE132" s="22">
        <f t="shared" si="32"/>
        <v>88</v>
      </c>
      <c r="AF132" t="str">
        <f t="shared" si="33"/>
        <v>Nivel de Autoestima Alto</v>
      </c>
      <c r="AG132" s="1">
        <f t="shared" si="34"/>
        <v>4</v>
      </c>
    </row>
    <row r="133" spans="1:33" x14ac:dyDescent="0.25">
      <c r="A133" t="s">
        <v>147</v>
      </c>
      <c r="B133" s="1">
        <v>1</v>
      </c>
      <c r="C133" s="1">
        <v>1</v>
      </c>
      <c r="D133" s="1">
        <v>1</v>
      </c>
      <c r="E133" s="1">
        <v>0</v>
      </c>
      <c r="F133" s="1">
        <v>1</v>
      </c>
      <c r="G133" s="1">
        <v>1</v>
      </c>
      <c r="H133" s="1">
        <v>0</v>
      </c>
      <c r="I133" s="1">
        <v>1</v>
      </c>
      <c r="J133" s="1">
        <v>1</v>
      </c>
      <c r="K133" s="1">
        <v>1</v>
      </c>
      <c r="L133" s="1">
        <v>0</v>
      </c>
      <c r="M133" s="1">
        <v>0</v>
      </c>
      <c r="N133" s="1">
        <v>1</v>
      </c>
      <c r="O133" s="1">
        <v>1</v>
      </c>
      <c r="P133" s="1">
        <v>1</v>
      </c>
      <c r="Q133" s="1">
        <v>0</v>
      </c>
      <c r="R133" s="1">
        <v>1</v>
      </c>
      <c r="S133" s="1">
        <v>0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1</v>
      </c>
      <c r="Z133" s="1">
        <v>0</v>
      </c>
      <c r="AA133" s="22">
        <f t="shared" si="28"/>
        <v>8</v>
      </c>
      <c r="AB133" s="1">
        <f t="shared" si="29"/>
        <v>6</v>
      </c>
      <c r="AC133" s="1">
        <f t="shared" si="30"/>
        <v>4</v>
      </c>
      <c r="AD133" s="22">
        <f t="shared" si="31"/>
        <v>18</v>
      </c>
      <c r="AE133" s="22">
        <f t="shared" si="32"/>
        <v>72</v>
      </c>
      <c r="AF133" t="str">
        <f t="shared" si="33"/>
        <v>Nivel de Autoestima Medio Alto</v>
      </c>
      <c r="AG133" s="1">
        <f t="shared" si="34"/>
        <v>3</v>
      </c>
    </row>
    <row r="134" spans="1:33" x14ac:dyDescent="0.25">
      <c r="A134" t="s">
        <v>148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1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1</v>
      </c>
      <c r="X134" s="1">
        <v>0</v>
      </c>
      <c r="Y134" s="1">
        <v>1</v>
      </c>
      <c r="Z134" s="1">
        <v>0</v>
      </c>
      <c r="AA134" s="22">
        <f t="shared" si="28"/>
        <v>2</v>
      </c>
      <c r="AB134" s="1">
        <f t="shared" si="29"/>
        <v>0</v>
      </c>
      <c r="AC134" s="1">
        <f t="shared" si="30"/>
        <v>2</v>
      </c>
      <c r="AD134" s="22">
        <f t="shared" si="31"/>
        <v>4</v>
      </c>
      <c r="AE134" s="22">
        <f t="shared" si="32"/>
        <v>16</v>
      </c>
      <c r="AF134" t="str">
        <f t="shared" si="33"/>
        <v>Nivel de Autoestima Bajo</v>
      </c>
      <c r="AG134" s="1">
        <f t="shared" si="34"/>
        <v>1</v>
      </c>
    </row>
    <row r="135" spans="1:33" x14ac:dyDescent="0.25">
      <c r="A135" t="s">
        <v>149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  <c r="H135" s="1">
        <v>0</v>
      </c>
      <c r="I135" s="1">
        <v>0</v>
      </c>
      <c r="J135" s="1">
        <v>1</v>
      </c>
      <c r="K135" s="1">
        <v>1</v>
      </c>
      <c r="L135" s="1">
        <v>1</v>
      </c>
      <c r="M135" s="1">
        <v>1</v>
      </c>
      <c r="N135" s="1">
        <v>0</v>
      </c>
      <c r="O135" s="1">
        <v>1</v>
      </c>
      <c r="P135" s="1">
        <v>0</v>
      </c>
      <c r="Q135" s="1">
        <v>1</v>
      </c>
      <c r="R135" s="1">
        <v>1</v>
      </c>
      <c r="S135" s="1">
        <v>0</v>
      </c>
      <c r="T135" s="1">
        <v>0</v>
      </c>
      <c r="U135" s="1">
        <v>1</v>
      </c>
      <c r="V135" s="1">
        <v>1</v>
      </c>
      <c r="W135" s="1">
        <v>1</v>
      </c>
      <c r="X135" s="1">
        <v>0</v>
      </c>
      <c r="Y135" s="1">
        <v>0</v>
      </c>
      <c r="Z135" s="1">
        <v>1</v>
      </c>
      <c r="AA135" s="22">
        <f t="shared" si="28"/>
        <v>6</v>
      </c>
      <c r="AB135" s="1">
        <f t="shared" si="29"/>
        <v>5</v>
      </c>
      <c r="AC135" s="1">
        <f t="shared" si="30"/>
        <v>6</v>
      </c>
      <c r="AD135" s="22">
        <f t="shared" si="31"/>
        <v>17</v>
      </c>
      <c r="AE135" s="22">
        <f t="shared" si="32"/>
        <v>68</v>
      </c>
      <c r="AF135" t="str">
        <f t="shared" si="33"/>
        <v>Nivel de Autoestima Medio Alto</v>
      </c>
      <c r="AG135" s="1">
        <f t="shared" si="34"/>
        <v>3</v>
      </c>
    </row>
    <row r="136" spans="1:33" x14ac:dyDescent="0.25">
      <c r="A136" t="s">
        <v>150</v>
      </c>
      <c r="B136" s="1">
        <v>0</v>
      </c>
      <c r="C136" s="1">
        <v>0</v>
      </c>
      <c r="D136" s="1">
        <v>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1</v>
      </c>
      <c r="L136" s="1">
        <v>0</v>
      </c>
      <c r="M136" s="1">
        <v>1</v>
      </c>
      <c r="N136" s="1">
        <v>0</v>
      </c>
      <c r="O136" s="1">
        <v>0</v>
      </c>
      <c r="P136" s="1">
        <v>0</v>
      </c>
      <c r="Q136" s="1">
        <v>1</v>
      </c>
      <c r="R136" s="1">
        <v>0</v>
      </c>
      <c r="S136" s="1">
        <v>0</v>
      </c>
      <c r="T136" s="1">
        <v>1</v>
      </c>
      <c r="U136" s="1">
        <v>0</v>
      </c>
      <c r="V136" s="1">
        <v>1</v>
      </c>
      <c r="W136" s="1">
        <v>0</v>
      </c>
      <c r="X136" s="1">
        <v>0</v>
      </c>
      <c r="Y136" s="1">
        <v>1</v>
      </c>
      <c r="Z136" s="1">
        <v>1</v>
      </c>
      <c r="AA136" s="22">
        <f t="shared" si="28"/>
        <v>6</v>
      </c>
      <c r="AB136" s="1">
        <f t="shared" si="29"/>
        <v>1</v>
      </c>
      <c r="AC136" s="1">
        <f t="shared" si="30"/>
        <v>1</v>
      </c>
      <c r="AD136" s="22">
        <f t="shared" si="31"/>
        <v>8</v>
      </c>
      <c r="AE136" s="22">
        <f t="shared" si="32"/>
        <v>32</v>
      </c>
      <c r="AF136" t="str">
        <f t="shared" si="33"/>
        <v>Nivel de Autoestima Medio Bajo</v>
      </c>
      <c r="AG136" s="1">
        <f t="shared" si="34"/>
        <v>2</v>
      </c>
    </row>
    <row r="137" spans="1:33" x14ac:dyDescent="0.25">
      <c r="A137" t="s">
        <v>151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  <c r="G137" s="1">
        <v>1</v>
      </c>
      <c r="H137" s="1">
        <v>0</v>
      </c>
      <c r="I137" s="1">
        <v>1</v>
      </c>
      <c r="J137" s="1">
        <v>1</v>
      </c>
      <c r="K137" s="1">
        <v>1</v>
      </c>
      <c r="L137" s="1">
        <v>0</v>
      </c>
      <c r="M137" s="1">
        <v>0</v>
      </c>
      <c r="N137" s="1">
        <v>1</v>
      </c>
      <c r="O137" s="1">
        <v>1</v>
      </c>
      <c r="P137" s="1">
        <v>0</v>
      </c>
      <c r="Q137" s="1">
        <v>1</v>
      </c>
      <c r="R137" s="1">
        <v>0</v>
      </c>
      <c r="S137" s="1">
        <v>1</v>
      </c>
      <c r="T137" s="1">
        <v>1</v>
      </c>
      <c r="U137" s="1">
        <v>0</v>
      </c>
      <c r="V137" s="1">
        <v>1</v>
      </c>
      <c r="W137" s="1">
        <v>1</v>
      </c>
      <c r="X137" s="1">
        <v>1</v>
      </c>
      <c r="Y137" s="1">
        <v>1</v>
      </c>
      <c r="Z137" s="1">
        <v>0</v>
      </c>
      <c r="AA137" s="22">
        <f t="shared" si="28"/>
        <v>9</v>
      </c>
      <c r="AB137" s="1">
        <f t="shared" si="29"/>
        <v>5</v>
      </c>
      <c r="AC137" s="1">
        <f t="shared" si="30"/>
        <v>4</v>
      </c>
      <c r="AD137" s="22">
        <f t="shared" si="31"/>
        <v>18</v>
      </c>
      <c r="AE137" s="22">
        <f t="shared" si="32"/>
        <v>72</v>
      </c>
      <c r="AF137" t="str">
        <f t="shared" si="33"/>
        <v>Nivel de Autoestima Medio Alto</v>
      </c>
      <c r="AG137" s="1">
        <f t="shared" si="34"/>
        <v>3</v>
      </c>
    </row>
    <row r="138" spans="1:33" x14ac:dyDescent="0.25">
      <c r="A138" t="s">
        <v>152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0</v>
      </c>
      <c r="M138" s="1">
        <v>1</v>
      </c>
      <c r="N138" s="1">
        <v>0</v>
      </c>
      <c r="O138" s="1">
        <v>0</v>
      </c>
      <c r="P138" s="1">
        <v>1</v>
      </c>
      <c r="Q138" s="1">
        <v>1</v>
      </c>
      <c r="R138" s="1">
        <v>1</v>
      </c>
      <c r="S138" s="1">
        <v>1</v>
      </c>
      <c r="T138" s="1">
        <v>0</v>
      </c>
      <c r="U138" s="1">
        <v>0</v>
      </c>
      <c r="V138" s="1">
        <v>0</v>
      </c>
      <c r="W138" s="1">
        <v>1</v>
      </c>
      <c r="X138" s="1">
        <v>0</v>
      </c>
      <c r="Y138" s="1">
        <v>1</v>
      </c>
      <c r="Z138" s="1">
        <v>0</v>
      </c>
      <c r="AA138" s="22">
        <f t="shared" si="28"/>
        <v>9</v>
      </c>
      <c r="AB138" s="1">
        <f t="shared" si="29"/>
        <v>4</v>
      </c>
      <c r="AC138" s="1">
        <f t="shared" si="30"/>
        <v>4</v>
      </c>
      <c r="AD138" s="22">
        <f t="shared" si="31"/>
        <v>17</v>
      </c>
      <c r="AE138" s="22">
        <f t="shared" si="32"/>
        <v>68</v>
      </c>
      <c r="AF138" t="str">
        <f t="shared" si="33"/>
        <v>Nivel de Autoestima Medio Alto</v>
      </c>
      <c r="AG138" s="1">
        <f t="shared" si="34"/>
        <v>3</v>
      </c>
    </row>
    <row r="139" spans="1:33" x14ac:dyDescent="0.25">
      <c r="A139" t="s">
        <v>153</v>
      </c>
      <c r="B139" s="1">
        <v>0</v>
      </c>
      <c r="C139" s="1">
        <v>1</v>
      </c>
      <c r="D139" s="1">
        <v>1</v>
      </c>
      <c r="E139" s="1">
        <v>1</v>
      </c>
      <c r="F139" s="1">
        <v>1</v>
      </c>
      <c r="G139" s="1">
        <v>1</v>
      </c>
      <c r="H139" s="1">
        <v>0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0</v>
      </c>
      <c r="Q139" s="1">
        <v>1</v>
      </c>
      <c r="R139" s="1">
        <v>0</v>
      </c>
      <c r="S139" s="1">
        <v>1</v>
      </c>
      <c r="T139" s="1">
        <v>0</v>
      </c>
      <c r="U139" s="1">
        <v>1</v>
      </c>
      <c r="V139" s="1">
        <v>0</v>
      </c>
      <c r="W139" s="1">
        <v>1</v>
      </c>
      <c r="X139" s="1">
        <v>0</v>
      </c>
      <c r="Y139" s="1">
        <v>1</v>
      </c>
      <c r="Z139" s="1">
        <v>0</v>
      </c>
      <c r="AA139" s="22">
        <f t="shared" si="28"/>
        <v>7</v>
      </c>
      <c r="AB139" s="1">
        <f t="shared" si="29"/>
        <v>4</v>
      </c>
      <c r="AC139" s="1">
        <f t="shared" si="30"/>
        <v>6</v>
      </c>
      <c r="AD139" s="22">
        <f t="shared" si="31"/>
        <v>17</v>
      </c>
      <c r="AE139" s="22">
        <f t="shared" si="32"/>
        <v>68</v>
      </c>
      <c r="AF139" t="str">
        <f t="shared" si="33"/>
        <v>Nivel de Autoestima Medio Alto</v>
      </c>
      <c r="AG139" s="1">
        <f t="shared" si="34"/>
        <v>3</v>
      </c>
    </row>
    <row r="140" spans="1:33" x14ac:dyDescent="0.25">
      <c r="A140" t="s">
        <v>154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  <c r="G140" s="1">
        <v>0</v>
      </c>
      <c r="H140" s="1">
        <v>0</v>
      </c>
      <c r="I140" s="1">
        <v>0</v>
      </c>
      <c r="J140" s="1">
        <v>1</v>
      </c>
      <c r="K140" s="1">
        <v>1</v>
      </c>
      <c r="L140" s="1">
        <v>1</v>
      </c>
      <c r="M140" s="1">
        <v>0</v>
      </c>
      <c r="N140" s="1">
        <v>1</v>
      </c>
      <c r="O140" s="1">
        <v>1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1</v>
      </c>
      <c r="V140" s="1">
        <v>1</v>
      </c>
      <c r="W140" s="1">
        <v>1</v>
      </c>
      <c r="X140" s="1">
        <v>1</v>
      </c>
      <c r="Y140" s="1">
        <v>1</v>
      </c>
      <c r="Z140" s="1">
        <v>1</v>
      </c>
      <c r="AA140" s="22">
        <f t="shared" si="28"/>
        <v>9</v>
      </c>
      <c r="AB140" s="1">
        <f t="shared" si="29"/>
        <v>4</v>
      </c>
      <c r="AC140" s="1">
        <f t="shared" si="30"/>
        <v>4</v>
      </c>
      <c r="AD140" s="22">
        <f t="shared" si="31"/>
        <v>17</v>
      </c>
      <c r="AE140" s="22">
        <f t="shared" si="32"/>
        <v>68</v>
      </c>
      <c r="AF140" t="str">
        <f t="shared" si="33"/>
        <v>Nivel de Autoestima Medio Alto</v>
      </c>
      <c r="AG140" s="1">
        <f t="shared" si="34"/>
        <v>3</v>
      </c>
    </row>
    <row r="141" spans="1:33" x14ac:dyDescent="0.25">
      <c r="A141" t="s">
        <v>155</v>
      </c>
      <c r="B141" s="1">
        <v>1</v>
      </c>
      <c r="C141" s="1">
        <v>1</v>
      </c>
      <c r="D141" s="1">
        <v>0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0</v>
      </c>
      <c r="L141" s="1">
        <v>1</v>
      </c>
      <c r="M141" s="1">
        <v>1</v>
      </c>
      <c r="N141" s="1">
        <v>0</v>
      </c>
      <c r="O141" s="1">
        <v>1</v>
      </c>
      <c r="P141" s="1">
        <v>1</v>
      </c>
      <c r="Q141" s="1">
        <v>1</v>
      </c>
      <c r="R141" s="1">
        <v>1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1</v>
      </c>
      <c r="Z141" s="1">
        <v>0</v>
      </c>
      <c r="AA141" s="22">
        <f t="shared" si="28"/>
        <v>7</v>
      </c>
      <c r="AB141" s="1">
        <f t="shared" si="29"/>
        <v>5</v>
      </c>
      <c r="AC141" s="1">
        <f t="shared" si="30"/>
        <v>4</v>
      </c>
      <c r="AD141" s="22">
        <f t="shared" si="31"/>
        <v>16</v>
      </c>
      <c r="AE141" s="22">
        <f t="shared" si="32"/>
        <v>64</v>
      </c>
      <c r="AF141" t="str">
        <f t="shared" si="33"/>
        <v>Nivel de Autoestima Medio Alto</v>
      </c>
      <c r="AG141" s="1">
        <f t="shared" si="34"/>
        <v>3</v>
      </c>
    </row>
    <row r="142" spans="1:33" x14ac:dyDescent="0.25">
      <c r="A142" t="s">
        <v>156</v>
      </c>
      <c r="B142" s="1">
        <v>1</v>
      </c>
      <c r="C142" s="1">
        <v>1</v>
      </c>
      <c r="D142" s="1">
        <v>0</v>
      </c>
      <c r="E142" s="1">
        <v>0</v>
      </c>
      <c r="F142" s="1">
        <v>1</v>
      </c>
      <c r="G142" s="1">
        <v>1</v>
      </c>
      <c r="H142" s="1">
        <v>0</v>
      </c>
      <c r="I142" s="1">
        <v>1</v>
      </c>
      <c r="J142" s="1">
        <v>1</v>
      </c>
      <c r="K142" s="1">
        <v>0</v>
      </c>
      <c r="L142" s="1">
        <v>1</v>
      </c>
      <c r="M142" s="1">
        <v>0</v>
      </c>
      <c r="N142" s="1">
        <v>1</v>
      </c>
      <c r="O142" s="1">
        <v>1</v>
      </c>
      <c r="P142" s="1">
        <v>0</v>
      </c>
      <c r="Q142" s="1">
        <v>1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0</v>
      </c>
      <c r="Y142" s="1">
        <v>0</v>
      </c>
      <c r="Z142" s="1">
        <v>1</v>
      </c>
      <c r="AA142" s="22">
        <f t="shared" si="28"/>
        <v>5</v>
      </c>
      <c r="AB142" s="1">
        <f t="shared" si="29"/>
        <v>6</v>
      </c>
      <c r="AC142" s="1">
        <f t="shared" si="30"/>
        <v>6</v>
      </c>
      <c r="AD142" s="22">
        <f t="shared" si="31"/>
        <v>17</v>
      </c>
      <c r="AE142" s="22">
        <f t="shared" si="32"/>
        <v>68</v>
      </c>
      <c r="AF142" t="str">
        <f t="shared" si="33"/>
        <v>Nivel de Autoestima Medio Alto</v>
      </c>
      <c r="AG142" s="1">
        <f t="shared" si="34"/>
        <v>3</v>
      </c>
    </row>
    <row r="143" spans="1:33" x14ac:dyDescent="0.25">
      <c r="A143" t="s">
        <v>157</v>
      </c>
      <c r="B143" s="1">
        <v>0</v>
      </c>
      <c r="C143" s="1">
        <v>0</v>
      </c>
      <c r="D143" s="1">
        <v>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1</v>
      </c>
      <c r="W143" s="1">
        <v>1</v>
      </c>
      <c r="X143" s="1">
        <v>0</v>
      </c>
      <c r="Y143" s="1">
        <v>1</v>
      </c>
      <c r="Z143" s="1">
        <v>0</v>
      </c>
      <c r="AA143" s="22">
        <f t="shared" si="28"/>
        <v>2</v>
      </c>
      <c r="AB143" s="1">
        <f t="shared" si="29"/>
        <v>1</v>
      </c>
      <c r="AC143" s="1">
        <f t="shared" si="30"/>
        <v>2</v>
      </c>
      <c r="AD143" s="22">
        <f t="shared" si="31"/>
        <v>5</v>
      </c>
      <c r="AE143" s="22">
        <f t="shared" si="32"/>
        <v>20</v>
      </c>
      <c r="AF143" t="str">
        <f t="shared" si="33"/>
        <v>Nivel de Autoestima Bajo</v>
      </c>
      <c r="AG143" s="1">
        <f t="shared" si="34"/>
        <v>1</v>
      </c>
    </row>
    <row r="144" spans="1:33" x14ac:dyDescent="0.25">
      <c r="A144" t="s">
        <v>158</v>
      </c>
      <c r="B144" s="1">
        <v>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1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1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1</v>
      </c>
      <c r="AA144" s="22">
        <f t="shared" si="28"/>
        <v>2</v>
      </c>
      <c r="AB144" s="1">
        <f t="shared" si="29"/>
        <v>1</v>
      </c>
      <c r="AC144" s="1">
        <f t="shared" si="30"/>
        <v>1</v>
      </c>
      <c r="AD144" s="22">
        <f t="shared" si="31"/>
        <v>4</v>
      </c>
      <c r="AE144" s="22">
        <f t="shared" si="32"/>
        <v>16</v>
      </c>
      <c r="AF144" t="str">
        <f t="shared" si="33"/>
        <v>Nivel de Autoestima Bajo</v>
      </c>
      <c r="AG144" s="1">
        <f t="shared" si="34"/>
        <v>1</v>
      </c>
    </row>
    <row r="145" spans="1:33" x14ac:dyDescent="0.25">
      <c r="A145" t="s">
        <v>159</v>
      </c>
      <c r="B145" s="1">
        <v>0</v>
      </c>
      <c r="C145" s="1">
        <v>1</v>
      </c>
      <c r="D145" s="1">
        <v>1</v>
      </c>
      <c r="E145" s="1">
        <v>0</v>
      </c>
      <c r="F145" s="1">
        <v>1</v>
      </c>
      <c r="G145" s="1">
        <v>1</v>
      </c>
      <c r="H145" s="1">
        <v>0</v>
      </c>
      <c r="I145" s="1">
        <v>1</v>
      </c>
      <c r="J145" s="1">
        <v>1</v>
      </c>
      <c r="K145" s="1">
        <v>0</v>
      </c>
      <c r="L145" s="1">
        <v>1</v>
      </c>
      <c r="M145" s="1">
        <v>0</v>
      </c>
      <c r="N145" s="1">
        <v>0</v>
      </c>
      <c r="O145" s="1">
        <v>1</v>
      </c>
      <c r="P145" s="1">
        <v>0</v>
      </c>
      <c r="Q145" s="1">
        <v>0</v>
      </c>
      <c r="R145" s="1">
        <v>1</v>
      </c>
      <c r="S145" s="1">
        <v>0</v>
      </c>
      <c r="T145" s="1">
        <v>0</v>
      </c>
      <c r="U145" s="1">
        <v>0</v>
      </c>
      <c r="V145" s="1">
        <v>1</v>
      </c>
      <c r="W145" s="1">
        <v>1</v>
      </c>
      <c r="X145" s="1">
        <v>1</v>
      </c>
      <c r="Y145" s="1">
        <v>1</v>
      </c>
      <c r="Z145" s="1">
        <v>0</v>
      </c>
      <c r="AA145" s="22">
        <f t="shared" si="28"/>
        <v>3</v>
      </c>
      <c r="AB145" s="1">
        <f t="shared" si="29"/>
        <v>6</v>
      </c>
      <c r="AC145" s="1">
        <f t="shared" si="30"/>
        <v>4</v>
      </c>
      <c r="AD145" s="22">
        <f t="shared" si="31"/>
        <v>13</v>
      </c>
      <c r="AE145" s="22">
        <f t="shared" si="32"/>
        <v>52</v>
      </c>
      <c r="AF145" t="str">
        <f t="shared" si="33"/>
        <v>Nivel de Autoestima Medio Alto</v>
      </c>
      <c r="AG145" s="1">
        <f t="shared" si="34"/>
        <v>3</v>
      </c>
    </row>
    <row r="146" spans="1:33" x14ac:dyDescent="0.25">
      <c r="A146" t="s">
        <v>160</v>
      </c>
      <c r="B146" s="1">
        <v>1</v>
      </c>
      <c r="C146" s="1">
        <v>1</v>
      </c>
      <c r="D146" s="1">
        <v>1</v>
      </c>
      <c r="E146" s="1">
        <v>0</v>
      </c>
      <c r="F146" s="1">
        <v>1</v>
      </c>
      <c r="G146" s="1">
        <v>1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">
        <v>0</v>
      </c>
      <c r="P146" s="1">
        <v>1</v>
      </c>
      <c r="Q146" s="1">
        <v>0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1</v>
      </c>
      <c r="Z146" s="1">
        <v>1</v>
      </c>
      <c r="AA146" s="22">
        <f t="shared" si="28"/>
        <v>9</v>
      </c>
      <c r="AB146" s="1">
        <f t="shared" si="29"/>
        <v>5</v>
      </c>
      <c r="AC146" s="1">
        <f t="shared" si="30"/>
        <v>3</v>
      </c>
      <c r="AD146" s="22">
        <f t="shared" si="31"/>
        <v>17</v>
      </c>
      <c r="AE146" s="22">
        <f t="shared" si="32"/>
        <v>68</v>
      </c>
      <c r="AF146" t="str">
        <f t="shared" si="33"/>
        <v>Nivel de Autoestima Medio Alto</v>
      </c>
      <c r="AG146" s="1">
        <f t="shared" si="34"/>
        <v>3</v>
      </c>
    </row>
    <row r="147" spans="1:33" x14ac:dyDescent="0.25">
      <c r="A147" t="s">
        <v>161</v>
      </c>
      <c r="B147" s="1">
        <v>1</v>
      </c>
      <c r="C147" s="1">
        <v>0</v>
      </c>
      <c r="D147" s="1">
        <v>0</v>
      </c>
      <c r="E147" s="1">
        <v>0</v>
      </c>
      <c r="F147" s="1">
        <v>1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1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  <c r="X147" s="1">
        <v>0</v>
      </c>
      <c r="Y147" s="1">
        <v>1</v>
      </c>
      <c r="Z147" s="1">
        <v>0</v>
      </c>
      <c r="AA147" s="22">
        <f t="shared" si="28"/>
        <v>2</v>
      </c>
      <c r="AB147" s="1">
        <f t="shared" si="29"/>
        <v>2</v>
      </c>
      <c r="AC147" s="1">
        <f t="shared" si="30"/>
        <v>2</v>
      </c>
      <c r="AD147" s="22">
        <f t="shared" si="31"/>
        <v>6</v>
      </c>
      <c r="AE147" s="22">
        <f t="shared" si="32"/>
        <v>24</v>
      </c>
      <c r="AF147" t="str">
        <f t="shared" si="33"/>
        <v>Nivel de Autoestima Bajo</v>
      </c>
      <c r="AG147" s="1">
        <f t="shared" si="34"/>
        <v>1</v>
      </c>
    </row>
    <row r="148" spans="1:33" x14ac:dyDescent="0.25">
      <c r="A148" t="s">
        <v>162</v>
      </c>
      <c r="B148" s="1">
        <v>0</v>
      </c>
      <c r="C148" s="1">
        <v>1</v>
      </c>
      <c r="D148" s="1">
        <v>0</v>
      </c>
      <c r="E148" s="1">
        <v>1</v>
      </c>
      <c r="F148" s="1">
        <v>1</v>
      </c>
      <c r="G148" s="1">
        <v>1</v>
      </c>
      <c r="H148" s="1">
        <v>0</v>
      </c>
      <c r="I148" s="1">
        <v>1</v>
      </c>
      <c r="J148" s="1">
        <v>1</v>
      </c>
      <c r="K148" s="1">
        <v>1</v>
      </c>
      <c r="L148" s="1">
        <v>0</v>
      </c>
      <c r="M148" s="1">
        <v>0</v>
      </c>
      <c r="N148" s="1">
        <v>1</v>
      </c>
      <c r="O148" s="1">
        <v>1</v>
      </c>
      <c r="P148" s="1">
        <v>1</v>
      </c>
      <c r="Q148" s="1">
        <v>0</v>
      </c>
      <c r="R148" s="1">
        <v>1</v>
      </c>
      <c r="S148" s="1">
        <v>0</v>
      </c>
      <c r="T148" s="1">
        <v>0</v>
      </c>
      <c r="U148" s="1">
        <v>0</v>
      </c>
      <c r="V148" s="1">
        <v>0</v>
      </c>
      <c r="W148" s="1">
        <v>1</v>
      </c>
      <c r="X148" s="1">
        <v>0</v>
      </c>
      <c r="Y148" s="1">
        <v>1</v>
      </c>
      <c r="Z148" s="1">
        <v>1</v>
      </c>
      <c r="AA148" s="22">
        <f t="shared" si="28"/>
        <v>6</v>
      </c>
      <c r="AB148" s="1">
        <f t="shared" si="29"/>
        <v>5</v>
      </c>
      <c r="AC148" s="1">
        <f t="shared" si="30"/>
        <v>3</v>
      </c>
      <c r="AD148" s="22">
        <f t="shared" si="31"/>
        <v>14</v>
      </c>
      <c r="AE148" s="22">
        <f t="shared" si="32"/>
        <v>56</v>
      </c>
      <c r="AF148" t="str">
        <f t="shared" si="33"/>
        <v>Nivel de Autoestima Medio Alto</v>
      </c>
      <c r="AG148" s="1">
        <f t="shared" si="34"/>
        <v>3</v>
      </c>
    </row>
    <row r="149" spans="1:33" x14ac:dyDescent="0.25">
      <c r="A149" t="s">
        <v>163</v>
      </c>
      <c r="B149" s="1">
        <v>0</v>
      </c>
      <c r="C149" s="1">
        <v>0</v>
      </c>
      <c r="D149" s="1">
        <v>0</v>
      </c>
      <c r="E149" s="1">
        <v>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1</v>
      </c>
      <c r="P149" s="1">
        <v>0</v>
      </c>
      <c r="Q149" s="1">
        <v>0</v>
      </c>
      <c r="R149" s="1">
        <v>0</v>
      </c>
      <c r="S149" s="1">
        <v>1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22">
        <f t="shared" si="28"/>
        <v>2</v>
      </c>
      <c r="AB149" s="1">
        <f t="shared" si="29"/>
        <v>1</v>
      </c>
      <c r="AC149" s="1">
        <f t="shared" si="30"/>
        <v>0</v>
      </c>
      <c r="AD149" s="22">
        <f t="shared" si="31"/>
        <v>3</v>
      </c>
      <c r="AE149" s="22">
        <f t="shared" si="32"/>
        <v>12</v>
      </c>
      <c r="AF149" t="str">
        <f t="shared" si="33"/>
        <v>Nivel de Autoestima Bajo</v>
      </c>
      <c r="AG149" s="1">
        <f t="shared" si="34"/>
        <v>1</v>
      </c>
    </row>
    <row r="150" spans="1:33" x14ac:dyDescent="0.25">
      <c r="A150" t="s">
        <v>164</v>
      </c>
      <c r="B150" s="1">
        <v>1</v>
      </c>
      <c r="C150" s="1">
        <v>0</v>
      </c>
      <c r="D150" s="1">
        <v>1</v>
      </c>
      <c r="E150" s="1">
        <v>1</v>
      </c>
      <c r="F150" s="1">
        <v>0</v>
      </c>
      <c r="G150" s="1">
        <v>1</v>
      </c>
      <c r="H150" s="1">
        <v>0</v>
      </c>
      <c r="I150" s="1">
        <v>1</v>
      </c>
      <c r="J150" s="1">
        <v>0</v>
      </c>
      <c r="K150" s="1">
        <v>0</v>
      </c>
      <c r="L150" s="1">
        <v>0</v>
      </c>
      <c r="M150" s="1">
        <v>1</v>
      </c>
      <c r="N150" s="1">
        <v>0</v>
      </c>
      <c r="O150" s="1">
        <v>0</v>
      </c>
      <c r="P150" s="1">
        <v>1</v>
      </c>
      <c r="Q150" s="1">
        <v>0</v>
      </c>
      <c r="R150" s="1">
        <v>0</v>
      </c>
      <c r="S150" s="1">
        <v>1</v>
      </c>
      <c r="T150" s="1">
        <v>0</v>
      </c>
      <c r="U150" s="1">
        <v>0</v>
      </c>
      <c r="V150" s="1">
        <v>1</v>
      </c>
      <c r="W150" s="1">
        <v>0</v>
      </c>
      <c r="X150" s="1">
        <v>0</v>
      </c>
      <c r="Y150" s="1">
        <v>0</v>
      </c>
      <c r="Z150" s="1">
        <v>0</v>
      </c>
      <c r="AA150" s="22">
        <f t="shared" si="28"/>
        <v>6</v>
      </c>
      <c r="AB150" s="1">
        <f t="shared" si="29"/>
        <v>2</v>
      </c>
      <c r="AC150" s="1">
        <f t="shared" si="30"/>
        <v>1</v>
      </c>
      <c r="AD150" s="22">
        <f t="shared" si="31"/>
        <v>9</v>
      </c>
      <c r="AE150" s="22">
        <f t="shared" si="32"/>
        <v>36</v>
      </c>
      <c r="AF150" t="str">
        <f t="shared" si="33"/>
        <v>Nivel de Autoestima Medio Bajo</v>
      </c>
      <c r="AG150" s="1">
        <f t="shared" si="34"/>
        <v>2</v>
      </c>
    </row>
    <row r="151" spans="1:33" x14ac:dyDescent="0.25">
      <c r="A151" t="s">
        <v>165</v>
      </c>
      <c r="B151" s="1">
        <v>1</v>
      </c>
      <c r="C151" s="1">
        <v>1</v>
      </c>
      <c r="D151" s="1">
        <v>1</v>
      </c>
      <c r="E151" s="1">
        <v>0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0</v>
      </c>
      <c r="L151" s="1">
        <v>1</v>
      </c>
      <c r="M151" s="1">
        <v>1</v>
      </c>
      <c r="N151" s="1">
        <v>1</v>
      </c>
      <c r="O151" s="1">
        <v>1</v>
      </c>
      <c r="P151" s="1">
        <v>1</v>
      </c>
      <c r="Q151" s="1">
        <v>0</v>
      </c>
      <c r="R151" s="1">
        <v>1</v>
      </c>
      <c r="S151" s="1">
        <v>0</v>
      </c>
      <c r="T151" s="1">
        <v>0</v>
      </c>
      <c r="U151" s="1">
        <v>0</v>
      </c>
      <c r="V151" s="1">
        <v>1</v>
      </c>
      <c r="W151" s="1">
        <v>0</v>
      </c>
      <c r="X151" s="1">
        <v>0</v>
      </c>
      <c r="Y151" s="1">
        <v>1</v>
      </c>
      <c r="Z151" s="1">
        <v>1</v>
      </c>
      <c r="AA151" s="22">
        <f t="shared" si="28"/>
        <v>8</v>
      </c>
      <c r="AB151" s="1">
        <f t="shared" si="29"/>
        <v>6</v>
      </c>
      <c r="AC151" s="1">
        <f t="shared" si="30"/>
        <v>3</v>
      </c>
      <c r="AD151" s="22">
        <f t="shared" si="31"/>
        <v>17</v>
      </c>
      <c r="AE151" s="22">
        <f t="shared" si="32"/>
        <v>68</v>
      </c>
      <c r="AF151" t="str">
        <f t="shared" si="33"/>
        <v>Nivel de Autoestima Medio Alto</v>
      </c>
      <c r="AG151" s="1">
        <f t="shared" si="34"/>
        <v>3</v>
      </c>
    </row>
    <row r="152" spans="1:33" x14ac:dyDescent="0.25">
      <c r="A152" t="s">
        <v>166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1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22">
        <f t="shared" si="28"/>
        <v>1</v>
      </c>
      <c r="AB152" s="1">
        <f t="shared" si="29"/>
        <v>0</v>
      </c>
      <c r="AC152" s="1">
        <f t="shared" si="30"/>
        <v>1</v>
      </c>
      <c r="AD152" s="22">
        <f t="shared" si="31"/>
        <v>2</v>
      </c>
      <c r="AE152" s="22">
        <f t="shared" si="32"/>
        <v>8</v>
      </c>
      <c r="AF152" t="str">
        <f t="shared" si="33"/>
        <v>Nivel de Autoestima Bajo</v>
      </c>
      <c r="AG152" s="1">
        <f t="shared" si="34"/>
        <v>1</v>
      </c>
    </row>
    <row r="153" spans="1:33" x14ac:dyDescent="0.25">
      <c r="A153" t="s">
        <v>167</v>
      </c>
      <c r="B153" s="1">
        <v>1</v>
      </c>
      <c r="C153" s="1">
        <v>1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1</v>
      </c>
      <c r="J153" s="1">
        <v>1</v>
      </c>
      <c r="K153" s="1">
        <v>0</v>
      </c>
      <c r="L153" s="1">
        <v>1</v>
      </c>
      <c r="M153" s="1">
        <v>0</v>
      </c>
      <c r="N153" s="1">
        <v>1</v>
      </c>
      <c r="O153" s="1">
        <v>1</v>
      </c>
      <c r="P153" s="1">
        <v>0</v>
      </c>
      <c r="Q153" s="1">
        <v>1</v>
      </c>
      <c r="R153" s="1">
        <v>1</v>
      </c>
      <c r="S153" s="1">
        <v>0</v>
      </c>
      <c r="T153" s="1">
        <v>1</v>
      </c>
      <c r="U153" s="1">
        <v>1</v>
      </c>
      <c r="V153" s="1">
        <v>1</v>
      </c>
      <c r="W153" s="1">
        <v>0</v>
      </c>
      <c r="X153" s="1">
        <v>0</v>
      </c>
      <c r="Y153" s="1">
        <v>0</v>
      </c>
      <c r="Z153" s="1">
        <v>1</v>
      </c>
      <c r="AA153" s="22">
        <f t="shared" si="28"/>
        <v>4</v>
      </c>
      <c r="AB153" s="1">
        <f t="shared" si="29"/>
        <v>5</v>
      </c>
      <c r="AC153" s="1">
        <f t="shared" si="30"/>
        <v>5</v>
      </c>
      <c r="AD153" s="22">
        <f t="shared" si="31"/>
        <v>14</v>
      </c>
      <c r="AE153" s="22">
        <f t="shared" si="32"/>
        <v>56</v>
      </c>
      <c r="AF153" t="str">
        <f t="shared" si="33"/>
        <v>Nivel de Autoestima Medio Alto</v>
      </c>
      <c r="AG153" s="1">
        <f t="shared" si="34"/>
        <v>3</v>
      </c>
    </row>
    <row r="154" spans="1:33" x14ac:dyDescent="0.25">
      <c r="A154" t="s">
        <v>168</v>
      </c>
      <c r="B154" s="1">
        <v>0</v>
      </c>
      <c r="C154" s="1">
        <v>0</v>
      </c>
      <c r="D154" s="1">
        <v>1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1</v>
      </c>
      <c r="R154" s="1">
        <v>0</v>
      </c>
      <c r="S154" s="1">
        <v>0</v>
      </c>
      <c r="T154" s="1">
        <v>0</v>
      </c>
      <c r="U154" s="1">
        <v>0</v>
      </c>
      <c r="V154" s="1">
        <v>1</v>
      </c>
      <c r="W154" s="1">
        <v>0</v>
      </c>
      <c r="X154" s="1">
        <v>0</v>
      </c>
      <c r="Y154" s="1">
        <v>0</v>
      </c>
      <c r="Z154" s="1">
        <v>1</v>
      </c>
      <c r="AA154" s="22">
        <f t="shared" si="28"/>
        <v>4</v>
      </c>
      <c r="AB154" s="1">
        <f t="shared" si="29"/>
        <v>1</v>
      </c>
      <c r="AC154" s="1">
        <f t="shared" si="30"/>
        <v>1</v>
      </c>
      <c r="AD154" s="22">
        <f t="shared" si="31"/>
        <v>6</v>
      </c>
      <c r="AE154" s="22">
        <f t="shared" si="32"/>
        <v>24</v>
      </c>
      <c r="AF154" t="str">
        <f t="shared" si="33"/>
        <v>Nivel de Autoestima Bajo</v>
      </c>
      <c r="AG154" s="1">
        <f t="shared" si="34"/>
        <v>1</v>
      </c>
    </row>
    <row r="155" spans="1:33" x14ac:dyDescent="0.25">
      <c r="A155" t="s">
        <v>169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1</v>
      </c>
      <c r="L155" s="1">
        <v>1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0</v>
      </c>
      <c r="T155" s="1">
        <v>0</v>
      </c>
      <c r="U155" s="1">
        <v>0</v>
      </c>
      <c r="V155" s="1">
        <v>1</v>
      </c>
      <c r="W155" s="1">
        <v>0</v>
      </c>
      <c r="X155" s="1">
        <v>0</v>
      </c>
      <c r="Y155" s="1">
        <v>0</v>
      </c>
      <c r="Z155" s="1">
        <v>0</v>
      </c>
      <c r="AA155" s="22">
        <f t="shared" si="28"/>
        <v>1</v>
      </c>
      <c r="AB155" s="1">
        <f t="shared" si="29"/>
        <v>2</v>
      </c>
      <c r="AC155" s="1">
        <f t="shared" si="30"/>
        <v>1</v>
      </c>
      <c r="AD155" s="22">
        <f t="shared" si="31"/>
        <v>4</v>
      </c>
      <c r="AE155" s="22">
        <f t="shared" si="32"/>
        <v>16</v>
      </c>
      <c r="AF155" t="str">
        <f t="shared" si="33"/>
        <v>Nivel de Autoestima Bajo</v>
      </c>
      <c r="AG155" s="1">
        <f t="shared" si="34"/>
        <v>1</v>
      </c>
    </row>
    <row r="156" spans="1:33" x14ac:dyDescent="0.25">
      <c r="A156" t="s">
        <v>170</v>
      </c>
      <c r="B156" s="1">
        <v>1</v>
      </c>
      <c r="C156" s="1">
        <v>1</v>
      </c>
      <c r="D156" s="1">
        <v>0</v>
      </c>
      <c r="E156" s="1">
        <v>1</v>
      </c>
      <c r="F156" s="1">
        <v>1</v>
      </c>
      <c r="G156" s="1">
        <v>1</v>
      </c>
      <c r="H156" s="1">
        <v>0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0</v>
      </c>
      <c r="Q156" s="1">
        <v>1</v>
      </c>
      <c r="R156" s="1">
        <v>0</v>
      </c>
      <c r="S156" s="1">
        <v>0</v>
      </c>
      <c r="T156" s="1">
        <v>0</v>
      </c>
      <c r="U156" s="1">
        <v>1</v>
      </c>
      <c r="V156" s="1">
        <v>1</v>
      </c>
      <c r="W156" s="1">
        <v>1</v>
      </c>
      <c r="X156" s="1">
        <v>0</v>
      </c>
      <c r="Y156" s="1">
        <v>0</v>
      </c>
      <c r="Z156" s="1">
        <v>0</v>
      </c>
      <c r="AA156" s="22">
        <f t="shared" si="28"/>
        <v>5</v>
      </c>
      <c r="AB156" s="1">
        <f t="shared" si="29"/>
        <v>5</v>
      </c>
      <c r="AC156" s="1">
        <f t="shared" si="30"/>
        <v>6</v>
      </c>
      <c r="AD156" s="22">
        <f t="shared" si="31"/>
        <v>16</v>
      </c>
      <c r="AE156" s="22">
        <f t="shared" si="32"/>
        <v>64</v>
      </c>
      <c r="AF156" t="str">
        <f t="shared" si="33"/>
        <v>Nivel de Autoestima Medio Alto</v>
      </c>
      <c r="AG156" s="1">
        <f t="shared" si="34"/>
        <v>3</v>
      </c>
    </row>
    <row r="157" spans="1:33" x14ac:dyDescent="0.25">
      <c r="A157" t="s">
        <v>171</v>
      </c>
      <c r="B157" s="1">
        <v>0</v>
      </c>
      <c r="C157" s="1">
        <v>1</v>
      </c>
      <c r="D157" s="1">
        <v>0</v>
      </c>
      <c r="E157" s="1">
        <v>0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  <c r="M157" s="1">
        <v>0</v>
      </c>
      <c r="N157" s="1">
        <v>0</v>
      </c>
      <c r="O157" s="1">
        <v>1</v>
      </c>
      <c r="P157" s="1">
        <v>0</v>
      </c>
      <c r="Q157" s="1">
        <v>1</v>
      </c>
      <c r="R157" s="1">
        <v>1</v>
      </c>
      <c r="S157" s="1">
        <v>1</v>
      </c>
      <c r="T157" s="1">
        <v>0</v>
      </c>
      <c r="U157" s="1">
        <v>1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22">
        <f t="shared" si="28"/>
        <v>3</v>
      </c>
      <c r="AB157" s="1">
        <f t="shared" si="29"/>
        <v>6</v>
      </c>
      <c r="AC157" s="1">
        <f t="shared" si="30"/>
        <v>6</v>
      </c>
      <c r="AD157" s="22">
        <f t="shared" si="31"/>
        <v>15</v>
      </c>
      <c r="AE157" s="22">
        <f t="shared" si="32"/>
        <v>60</v>
      </c>
      <c r="AF157" t="str">
        <f t="shared" si="33"/>
        <v>Nivel de Autoestima Medio Alto</v>
      </c>
      <c r="AG157" s="1">
        <f t="shared" si="34"/>
        <v>3</v>
      </c>
    </row>
    <row r="158" spans="1:33" x14ac:dyDescent="0.25">
      <c r="A158" t="s">
        <v>172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1</v>
      </c>
      <c r="R158" s="1">
        <v>0</v>
      </c>
      <c r="S158" s="1">
        <v>0</v>
      </c>
      <c r="T158" s="1">
        <v>0</v>
      </c>
      <c r="U158" s="1">
        <v>0</v>
      </c>
      <c r="V158" s="1">
        <v>1</v>
      </c>
      <c r="W158" s="1">
        <v>0</v>
      </c>
      <c r="X158" s="1">
        <v>0</v>
      </c>
      <c r="Y158" s="1">
        <v>1</v>
      </c>
      <c r="Z158" s="1">
        <v>0</v>
      </c>
      <c r="AA158" s="22">
        <f t="shared" si="28"/>
        <v>1</v>
      </c>
      <c r="AB158" s="1">
        <f t="shared" si="29"/>
        <v>1</v>
      </c>
      <c r="AC158" s="1">
        <f t="shared" si="30"/>
        <v>1</v>
      </c>
      <c r="AD158" s="22">
        <f t="shared" si="31"/>
        <v>3</v>
      </c>
      <c r="AE158" s="22">
        <f t="shared" si="32"/>
        <v>12</v>
      </c>
      <c r="AF158" t="str">
        <f t="shared" si="33"/>
        <v>Nivel de Autoestima Bajo</v>
      </c>
      <c r="AG158" s="1">
        <f t="shared" si="34"/>
        <v>1</v>
      </c>
    </row>
    <row r="159" spans="1:33" x14ac:dyDescent="0.25">
      <c r="A159" t="s">
        <v>173</v>
      </c>
      <c r="B159" s="1">
        <v>1</v>
      </c>
      <c r="C159" s="1">
        <v>1</v>
      </c>
      <c r="D159" s="1">
        <v>1</v>
      </c>
      <c r="E159" s="1">
        <v>0</v>
      </c>
      <c r="F159" s="1">
        <v>0</v>
      </c>
      <c r="G159" s="1">
        <v>1</v>
      </c>
      <c r="H159" s="1">
        <v>0</v>
      </c>
      <c r="I159" s="1">
        <v>1</v>
      </c>
      <c r="J159" s="1">
        <v>1</v>
      </c>
      <c r="K159" s="1">
        <v>0</v>
      </c>
      <c r="L159" s="1">
        <v>1</v>
      </c>
      <c r="M159" s="1">
        <v>0</v>
      </c>
      <c r="N159" s="1">
        <v>0</v>
      </c>
      <c r="O159" s="1">
        <v>1</v>
      </c>
      <c r="P159" s="1">
        <v>0</v>
      </c>
      <c r="Q159" s="1">
        <v>1</v>
      </c>
      <c r="R159" s="1">
        <v>1</v>
      </c>
      <c r="S159" s="1">
        <v>0</v>
      </c>
      <c r="T159" s="1">
        <v>1</v>
      </c>
      <c r="U159" s="1">
        <v>1</v>
      </c>
      <c r="V159" s="1">
        <v>0</v>
      </c>
      <c r="W159" s="1">
        <v>0</v>
      </c>
      <c r="X159" s="1">
        <v>0</v>
      </c>
      <c r="Y159" s="1">
        <v>0</v>
      </c>
      <c r="Z159" s="1">
        <v>1</v>
      </c>
      <c r="AA159" s="22">
        <f t="shared" si="28"/>
        <v>4</v>
      </c>
      <c r="AB159" s="1">
        <f t="shared" si="29"/>
        <v>4</v>
      </c>
      <c r="AC159" s="1">
        <f t="shared" si="30"/>
        <v>5</v>
      </c>
      <c r="AD159" s="22">
        <f t="shared" si="31"/>
        <v>13</v>
      </c>
      <c r="AE159" s="22">
        <f t="shared" si="32"/>
        <v>52</v>
      </c>
      <c r="AF159" t="str">
        <f t="shared" si="33"/>
        <v>Nivel de Autoestima Medio Alto</v>
      </c>
      <c r="AG159" s="1">
        <f t="shared" si="34"/>
        <v>3</v>
      </c>
    </row>
    <row r="160" spans="1:33" x14ac:dyDescent="0.25">
      <c r="A160" t="s">
        <v>174</v>
      </c>
      <c r="B160" s="1">
        <v>1</v>
      </c>
      <c r="C160" s="1">
        <v>1</v>
      </c>
      <c r="D160" s="1">
        <v>0</v>
      </c>
      <c r="E160" s="1">
        <v>1</v>
      </c>
      <c r="F160" s="1">
        <v>0</v>
      </c>
      <c r="G160" s="1">
        <v>1</v>
      </c>
      <c r="H160" s="1">
        <v>0</v>
      </c>
      <c r="I160" s="1">
        <v>1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0</v>
      </c>
      <c r="P160" s="1">
        <v>1</v>
      </c>
      <c r="Q160" s="1">
        <v>1</v>
      </c>
      <c r="R160" s="1">
        <v>1</v>
      </c>
      <c r="S160" s="1">
        <v>1</v>
      </c>
      <c r="T160" s="1">
        <v>0</v>
      </c>
      <c r="U160" s="1">
        <v>0</v>
      </c>
      <c r="V160" s="1">
        <v>1</v>
      </c>
      <c r="W160" s="1">
        <v>0</v>
      </c>
      <c r="X160" s="1">
        <v>1</v>
      </c>
      <c r="Y160" s="1">
        <v>1</v>
      </c>
      <c r="Z160" s="1">
        <v>0</v>
      </c>
      <c r="AA160" s="22">
        <f t="shared" si="28"/>
        <v>9</v>
      </c>
      <c r="AB160" s="1">
        <f t="shared" si="29"/>
        <v>4</v>
      </c>
      <c r="AC160" s="1">
        <f t="shared" si="30"/>
        <v>4</v>
      </c>
      <c r="AD160" s="22">
        <f t="shared" si="31"/>
        <v>17</v>
      </c>
      <c r="AE160" s="22">
        <f t="shared" si="32"/>
        <v>68</v>
      </c>
      <c r="AF160" t="str">
        <f t="shared" si="33"/>
        <v>Nivel de Autoestima Medio Alto</v>
      </c>
      <c r="AG160" s="1">
        <f t="shared" si="34"/>
        <v>3</v>
      </c>
    </row>
    <row r="161" spans="1:33" x14ac:dyDescent="0.25">
      <c r="A161" t="s">
        <v>175</v>
      </c>
      <c r="B161" s="1">
        <v>1</v>
      </c>
      <c r="C161" s="1">
        <v>1</v>
      </c>
      <c r="D161" s="1">
        <v>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1</v>
      </c>
      <c r="L161" s="1">
        <v>0</v>
      </c>
      <c r="M161" s="1">
        <v>1</v>
      </c>
      <c r="N161" s="1">
        <v>1</v>
      </c>
      <c r="O161" s="1">
        <v>0</v>
      </c>
      <c r="P161" s="1">
        <v>0</v>
      </c>
      <c r="Q161" s="1">
        <v>0</v>
      </c>
      <c r="R161" s="1">
        <v>0</v>
      </c>
      <c r="S161" s="1">
        <v>1</v>
      </c>
      <c r="T161" s="1">
        <v>0</v>
      </c>
      <c r="U161" s="1">
        <v>0</v>
      </c>
      <c r="V161" s="1">
        <v>0</v>
      </c>
      <c r="W161" s="1">
        <v>1</v>
      </c>
      <c r="X161" s="1">
        <v>1</v>
      </c>
      <c r="Y161" s="1">
        <v>1</v>
      </c>
      <c r="Z161" s="1">
        <v>0</v>
      </c>
      <c r="AA161" s="22">
        <f t="shared" si="28"/>
        <v>8</v>
      </c>
      <c r="AB161" s="1">
        <f t="shared" si="29"/>
        <v>1</v>
      </c>
      <c r="AC161" s="1">
        <f t="shared" si="30"/>
        <v>1</v>
      </c>
      <c r="AD161" s="22">
        <f t="shared" si="31"/>
        <v>10</v>
      </c>
      <c r="AE161" s="22">
        <f t="shared" si="32"/>
        <v>40</v>
      </c>
      <c r="AF161" t="str">
        <f t="shared" si="33"/>
        <v>Nivel de Autoestima Medio Bajo</v>
      </c>
      <c r="AG161" s="1">
        <f t="shared" si="34"/>
        <v>2</v>
      </c>
    </row>
    <row r="162" spans="1:33" x14ac:dyDescent="0.25">
      <c r="A162" t="s">
        <v>176</v>
      </c>
      <c r="B162" s="1">
        <v>0</v>
      </c>
      <c r="C162" s="1">
        <v>0</v>
      </c>
      <c r="D162" s="1">
        <v>0</v>
      </c>
      <c r="E162" s="1">
        <v>0</v>
      </c>
      <c r="F162" s="1">
        <v>1</v>
      </c>
      <c r="G162" s="1">
        <v>1</v>
      </c>
      <c r="H162" s="1">
        <v>1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0</v>
      </c>
      <c r="P162" s="1">
        <v>1</v>
      </c>
      <c r="Q162" s="1">
        <v>1</v>
      </c>
      <c r="R162" s="1">
        <v>1</v>
      </c>
      <c r="S162" s="1">
        <v>0</v>
      </c>
      <c r="T162" s="1">
        <v>1</v>
      </c>
      <c r="U162" s="1">
        <v>1</v>
      </c>
      <c r="V162" s="1">
        <v>1</v>
      </c>
      <c r="W162" s="1">
        <v>1</v>
      </c>
      <c r="X162" s="1">
        <v>1</v>
      </c>
      <c r="Y162" s="1">
        <v>0</v>
      </c>
      <c r="Z162" s="1">
        <v>1</v>
      </c>
      <c r="AA162" s="22">
        <f t="shared" ref="AA162:AA193" si="35">SUM(B162,D162,E162,H162,K162,M162,N162,P162,S162,T162,X162,Y162,Z162)</f>
        <v>6</v>
      </c>
      <c r="AB162" s="1">
        <f t="shared" ref="AB162:AB184" si="36">SUM(C162,F162,I162,O162,R162,V162)</f>
        <v>4</v>
      </c>
      <c r="AC162" s="1">
        <f t="shared" ref="AC162:AC184" si="37">SUM(G162,J162,L162,Q162,U162,W162)</f>
        <v>4</v>
      </c>
      <c r="AD162" s="22">
        <f t="shared" ref="AD162:AD193" si="38">SUM(AA162:AC162)</f>
        <v>14</v>
      </c>
      <c r="AE162" s="22">
        <f t="shared" ref="AE162:AE193" si="39">AD162*4</f>
        <v>56</v>
      </c>
      <c r="AF162" t="str">
        <f t="shared" ref="AF162:AF193" si="40">IF(AE162&lt;=$AL$3,$AJ$3,IF(AE162&lt;=$AL$4,$AJ$4,IF(AE162&lt;=$AL$5,$AJ$5,IF(AE162&lt;=$AL$6,$AJ$6,"erik"))))</f>
        <v>Nivel de Autoestima Medio Alto</v>
      </c>
      <c r="AG162" s="1">
        <f t="shared" si="34"/>
        <v>3</v>
      </c>
    </row>
    <row r="163" spans="1:33" x14ac:dyDescent="0.25">
      <c r="A163" t="s">
        <v>177</v>
      </c>
      <c r="B163" s="1">
        <v>1</v>
      </c>
      <c r="C163" s="1">
        <v>0</v>
      </c>
      <c r="D163" s="1">
        <v>1</v>
      </c>
      <c r="E163" s="1">
        <v>1</v>
      </c>
      <c r="F163" s="1">
        <v>0</v>
      </c>
      <c r="G163" s="1">
        <v>1</v>
      </c>
      <c r="H163" s="1">
        <v>1</v>
      </c>
      <c r="I163" s="1">
        <v>1</v>
      </c>
      <c r="J163" s="1">
        <v>0</v>
      </c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0</v>
      </c>
      <c r="R163" s="1">
        <v>1</v>
      </c>
      <c r="S163" s="1">
        <v>1</v>
      </c>
      <c r="T163" s="1">
        <v>0</v>
      </c>
      <c r="U163" s="1">
        <v>0</v>
      </c>
      <c r="V163" s="1">
        <v>1</v>
      </c>
      <c r="W163" s="1">
        <v>1</v>
      </c>
      <c r="X163" s="1">
        <v>1</v>
      </c>
      <c r="Y163" s="1">
        <v>0</v>
      </c>
      <c r="Z163" s="1">
        <v>1</v>
      </c>
      <c r="AA163" s="22">
        <f t="shared" si="35"/>
        <v>11</v>
      </c>
      <c r="AB163" s="1">
        <f t="shared" si="36"/>
        <v>4</v>
      </c>
      <c r="AC163" s="1">
        <f t="shared" si="37"/>
        <v>3</v>
      </c>
      <c r="AD163" s="22">
        <f t="shared" si="38"/>
        <v>18</v>
      </c>
      <c r="AE163" s="22">
        <f t="shared" si="39"/>
        <v>72</v>
      </c>
      <c r="AF163" t="str">
        <f t="shared" si="40"/>
        <v>Nivel de Autoestima Medio Alto</v>
      </c>
      <c r="AG163" s="1">
        <f t="shared" si="34"/>
        <v>3</v>
      </c>
    </row>
    <row r="164" spans="1:33" x14ac:dyDescent="0.25">
      <c r="A164" t="s">
        <v>178</v>
      </c>
      <c r="B164" s="1">
        <v>0</v>
      </c>
      <c r="C164" s="1">
        <v>0</v>
      </c>
      <c r="D164" s="1">
        <v>0</v>
      </c>
      <c r="E164" s="1">
        <v>1</v>
      </c>
      <c r="F164" s="1">
        <v>0</v>
      </c>
      <c r="G164" s="1">
        <v>0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1</v>
      </c>
      <c r="R164" s="1">
        <v>1</v>
      </c>
      <c r="S164" s="1">
        <v>0</v>
      </c>
      <c r="T164" s="1">
        <v>0</v>
      </c>
      <c r="U164" s="1">
        <v>1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22">
        <f t="shared" si="35"/>
        <v>1</v>
      </c>
      <c r="AB164" s="1">
        <f t="shared" si="36"/>
        <v>2</v>
      </c>
      <c r="AC164" s="1">
        <f t="shared" si="37"/>
        <v>2</v>
      </c>
      <c r="AD164" s="22">
        <f t="shared" si="38"/>
        <v>5</v>
      </c>
      <c r="AE164" s="22">
        <f t="shared" si="39"/>
        <v>20</v>
      </c>
      <c r="AF164" t="str">
        <f t="shared" si="40"/>
        <v>Nivel de Autoestima Bajo</v>
      </c>
      <c r="AG164" s="1">
        <f t="shared" si="34"/>
        <v>1</v>
      </c>
    </row>
    <row r="165" spans="1:33" x14ac:dyDescent="0.25">
      <c r="A165" t="s">
        <v>179</v>
      </c>
      <c r="B165" s="1">
        <v>1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22">
        <f t="shared" si="35"/>
        <v>1</v>
      </c>
      <c r="AB165" s="1">
        <f t="shared" si="36"/>
        <v>1</v>
      </c>
      <c r="AC165" s="1">
        <f t="shared" si="37"/>
        <v>0</v>
      </c>
      <c r="AD165" s="22">
        <f t="shared" si="38"/>
        <v>2</v>
      </c>
      <c r="AE165" s="22">
        <f t="shared" si="39"/>
        <v>8</v>
      </c>
      <c r="AF165" t="str">
        <f t="shared" si="40"/>
        <v>Nivel de Autoestima Bajo</v>
      </c>
      <c r="AG165" s="1">
        <f t="shared" si="34"/>
        <v>1</v>
      </c>
    </row>
    <row r="166" spans="1:33" x14ac:dyDescent="0.25">
      <c r="A166" t="s">
        <v>180</v>
      </c>
      <c r="B166" s="1">
        <v>1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22">
        <f t="shared" si="35"/>
        <v>1</v>
      </c>
      <c r="AB166" s="1">
        <f t="shared" si="36"/>
        <v>1</v>
      </c>
      <c r="AC166" s="1">
        <f t="shared" si="37"/>
        <v>0</v>
      </c>
      <c r="AD166" s="22">
        <f t="shared" si="38"/>
        <v>2</v>
      </c>
      <c r="AE166" s="22">
        <f t="shared" si="39"/>
        <v>8</v>
      </c>
      <c r="AF166" t="str">
        <f t="shared" si="40"/>
        <v>Nivel de Autoestima Bajo</v>
      </c>
      <c r="AG166" s="1">
        <f t="shared" si="34"/>
        <v>1</v>
      </c>
    </row>
    <row r="167" spans="1:33" x14ac:dyDescent="0.25">
      <c r="A167" t="s">
        <v>181</v>
      </c>
      <c r="B167" s="1">
        <v>1</v>
      </c>
      <c r="C167" s="1">
        <v>0</v>
      </c>
      <c r="D167" s="1">
        <v>0</v>
      </c>
      <c r="E167" s="1">
        <v>1</v>
      </c>
      <c r="F167" s="1">
        <v>0</v>
      </c>
      <c r="G167" s="1">
        <v>0</v>
      </c>
      <c r="H167" s="1">
        <v>1</v>
      </c>
      <c r="I167" s="1">
        <v>0</v>
      </c>
      <c r="J167" s="1">
        <v>1</v>
      </c>
      <c r="K167" s="1">
        <v>1</v>
      </c>
      <c r="L167" s="1">
        <v>1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1</v>
      </c>
      <c r="U167" s="1">
        <v>0</v>
      </c>
      <c r="V167" s="1">
        <v>1</v>
      </c>
      <c r="W167" s="1">
        <v>0</v>
      </c>
      <c r="X167" s="1">
        <v>0</v>
      </c>
      <c r="Y167" s="1">
        <v>1</v>
      </c>
      <c r="Z167" s="1">
        <v>1</v>
      </c>
      <c r="AA167" s="22">
        <f t="shared" si="35"/>
        <v>7</v>
      </c>
      <c r="AB167" s="1">
        <f t="shared" si="36"/>
        <v>1</v>
      </c>
      <c r="AC167" s="1">
        <f t="shared" si="37"/>
        <v>2</v>
      </c>
      <c r="AD167" s="22">
        <f t="shared" si="38"/>
        <v>10</v>
      </c>
      <c r="AE167" s="22">
        <f t="shared" si="39"/>
        <v>40</v>
      </c>
      <c r="AF167" t="str">
        <f t="shared" si="40"/>
        <v>Nivel de Autoestima Medio Bajo</v>
      </c>
      <c r="AG167" s="1">
        <f t="shared" si="34"/>
        <v>2</v>
      </c>
    </row>
    <row r="168" spans="1:33" x14ac:dyDescent="0.25">
      <c r="A168" t="s">
        <v>182</v>
      </c>
      <c r="B168" s="1">
        <v>1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1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22">
        <f t="shared" si="35"/>
        <v>1</v>
      </c>
      <c r="AB168" s="1">
        <f t="shared" si="36"/>
        <v>1</v>
      </c>
      <c r="AC168" s="1">
        <f t="shared" si="37"/>
        <v>1</v>
      </c>
      <c r="AD168" s="22">
        <f t="shared" si="38"/>
        <v>3</v>
      </c>
      <c r="AE168" s="22">
        <f t="shared" si="39"/>
        <v>12</v>
      </c>
      <c r="AF168" t="str">
        <f t="shared" si="40"/>
        <v>Nivel de Autoestima Bajo</v>
      </c>
      <c r="AG168" s="1">
        <f t="shared" si="34"/>
        <v>1</v>
      </c>
    </row>
    <row r="169" spans="1:33" x14ac:dyDescent="0.25">
      <c r="A169" t="s">
        <v>183</v>
      </c>
      <c r="B169" s="1">
        <v>0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1</v>
      </c>
      <c r="K169" s="1">
        <v>1</v>
      </c>
      <c r="L169" s="1">
        <v>0</v>
      </c>
      <c r="M169" s="1">
        <v>1</v>
      </c>
      <c r="N169" s="1">
        <v>1</v>
      </c>
      <c r="O169" s="1">
        <v>1</v>
      </c>
      <c r="P169" s="1">
        <v>0</v>
      </c>
      <c r="Q169" s="1">
        <v>1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1</v>
      </c>
      <c r="AA169" s="22">
        <f t="shared" si="35"/>
        <v>4</v>
      </c>
      <c r="AB169" s="1">
        <f t="shared" si="36"/>
        <v>2</v>
      </c>
      <c r="AC169" s="1">
        <f t="shared" si="37"/>
        <v>2</v>
      </c>
      <c r="AD169" s="22">
        <f t="shared" si="38"/>
        <v>8</v>
      </c>
      <c r="AE169" s="22">
        <f t="shared" si="39"/>
        <v>32</v>
      </c>
      <c r="AF169" t="str">
        <f t="shared" si="40"/>
        <v>Nivel de Autoestima Medio Bajo</v>
      </c>
      <c r="AG169" s="1">
        <f t="shared" si="34"/>
        <v>2</v>
      </c>
    </row>
    <row r="170" spans="1:33" x14ac:dyDescent="0.25">
      <c r="A170" t="s">
        <v>184</v>
      </c>
      <c r="B170" s="1">
        <v>0</v>
      </c>
      <c r="C170" s="1">
        <v>0</v>
      </c>
      <c r="D170" s="1">
        <v>1</v>
      </c>
      <c r="E170" s="1">
        <v>0</v>
      </c>
      <c r="F170" s="1">
        <v>0</v>
      </c>
      <c r="G170" s="1">
        <v>1</v>
      </c>
      <c r="H170" s="1">
        <v>0</v>
      </c>
      <c r="I170" s="1">
        <v>0</v>
      </c>
      <c r="J170" s="1">
        <v>1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1</v>
      </c>
      <c r="W170" s="1">
        <v>0</v>
      </c>
      <c r="X170" s="1">
        <v>0</v>
      </c>
      <c r="Y170" s="1">
        <v>0</v>
      </c>
      <c r="Z170" s="1">
        <v>0</v>
      </c>
      <c r="AA170" s="22">
        <f t="shared" si="35"/>
        <v>1</v>
      </c>
      <c r="AB170" s="1">
        <f t="shared" si="36"/>
        <v>1</v>
      </c>
      <c r="AC170" s="1">
        <f t="shared" si="37"/>
        <v>2</v>
      </c>
      <c r="AD170" s="22">
        <f t="shared" si="38"/>
        <v>4</v>
      </c>
      <c r="AE170" s="22">
        <f t="shared" si="39"/>
        <v>16</v>
      </c>
      <c r="AF170" t="str">
        <f t="shared" si="40"/>
        <v>Nivel de Autoestima Bajo</v>
      </c>
      <c r="AG170" s="1">
        <f t="shared" si="34"/>
        <v>1</v>
      </c>
    </row>
    <row r="171" spans="1:33" x14ac:dyDescent="0.25">
      <c r="A171" t="s">
        <v>185</v>
      </c>
      <c r="B171" s="1">
        <v>0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1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1</v>
      </c>
      <c r="Z171" s="1">
        <v>0</v>
      </c>
      <c r="AA171" s="22">
        <f t="shared" si="35"/>
        <v>1</v>
      </c>
      <c r="AB171" s="1">
        <f t="shared" si="36"/>
        <v>1</v>
      </c>
      <c r="AC171" s="1">
        <f t="shared" si="37"/>
        <v>2</v>
      </c>
      <c r="AD171" s="22">
        <f t="shared" si="38"/>
        <v>4</v>
      </c>
      <c r="AE171" s="22">
        <f t="shared" si="39"/>
        <v>16</v>
      </c>
      <c r="AF171" t="str">
        <f t="shared" si="40"/>
        <v>Nivel de Autoestima Bajo</v>
      </c>
      <c r="AG171" s="1">
        <f t="shared" si="34"/>
        <v>1</v>
      </c>
    </row>
    <row r="172" spans="1:33" x14ac:dyDescent="0.25">
      <c r="A172" t="s">
        <v>186</v>
      </c>
      <c r="B172" s="1">
        <v>1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1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22">
        <f t="shared" si="35"/>
        <v>1</v>
      </c>
      <c r="AB172" s="1">
        <f t="shared" si="36"/>
        <v>0</v>
      </c>
      <c r="AC172" s="1">
        <f t="shared" si="37"/>
        <v>1</v>
      </c>
      <c r="AD172" s="22">
        <f t="shared" si="38"/>
        <v>2</v>
      </c>
      <c r="AE172" s="22">
        <f t="shared" si="39"/>
        <v>8</v>
      </c>
      <c r="AF172" t="str">
        <f t="shared" si="40"/>
        <v>Nivel de Autoestima Bajo</v>
      </c>
      <c r="AG172" s="1">
        <f t="shared" si="34"/>
        <v>1</v>
      </c>
    </row>
    <row r="173" spans="1:33" x14ac:dyDescent="0.25">
      <c r="A173" t="s">
        <v>187</v>
      </c>
      <c r="B173" s="1">
        <v>1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v>0</v>
      </c>
      <c r="O173" s="1">
        <v>0</v>
      </c>
      <c r="P173" s="1">
        <v>1</v>
      </c>
      <c r="Q173" s="1">
        <v>1</v>
      </c>
      <c r="R173" s="1">
        <v>1</v>
      </c>
      <c r="S173" s="1">
        <v>1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1</v>
      </c>
      <c r="AA173" s="22">
        <f t="shared" si="35"/>
        <v>5</v>
      </c>
      <c r="AB173" s="1">
        <f t="shared" si="36"/>
        <v>1</v>
      </c>
      <c r="AC173" s="1">
        <f t="shared" si="37"/>
        <v>1</v>
      </c>
      <c r="AD173" s="22">
        <f t="shared" si="38"/>
        <v>7</v>
      </c>
      <c r="AE173" s="22">
        <f t="shared" si="39"/>
        <v>28</v>
      </c>
      <c r="AF173" t="str">
        <f t="shared" si="40"/>
        <v>Nivel de Autoestima Medio Bajo</v>
      </c>
      <c r="AG173" s="1">
        <f t="shared" si="34"/>
        <v>2</v>
      </c>
    </row>
    <row r="174" spans="1:33" x14ac:dyDescent="0.25">
      <c r="A174" t="s">
        <v>188</v>
      </c>
      <c r="B174" s="1">
        <v>0</v>
      </c>
      <c r="C174" s="1">
        <v>0</v>
      </c>
      <c r="D174" s="1">
        <v>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1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  <c r="U174" s="1">
        <v>1</v>
      </c>
      <c r="V174" s="1">
        <v>0</v>
      </c>
      <c r="W174" s="1">
        <v>0</v>
      </c>
      <c r="X174" s="1">
        <v>1</v>
      </c>
      <c r="Y174" s="1">
        <v>0</v>
      </c>
      <c r="Z174" s="1">
        <v>0</v>
      </c>
      <c r="AA174" s="22">
        <f t="shared" si="35"/>
        <v>4</v>
      </c>
      <c r="AB174" s="1">
        <f t="shared" si="36"/>
        <v>1</v>
      </c>
      <c r="AC174" s="1">
        <f t="shared" si="37"/>
        <v>1</v>
      </c>
      <c r="AD174" s="22">
        <f t="shared" si="38"/>
        <v>6</v>
      </c>
      <c r="AE174" s="22">
        <f t="shared" si="39"/>
        <v>24</v>
      </c>
      <c r="AF174" t="str">
        <f t="shared" si="40"/>
        <v>Nivel de Autoestima Bajo</v>
      </c>
      <c r="AG174" s="1">
        <f t="shared" si="34"/>
        <v>1</v>
      </c>
    </row>
    <row r="175" spans="1:33" x14ac:dyDescent="0.25">
      <c r="A175" t="s">
        <v>189</v>
      </c>
      <c r="B175" s="1">
        <v>1</v>
      </c>
      <c r="C175" s="1">
        <v>1</v>
      </c>
      <c r="D175" s="1">
        <v>0</v>
      </c>
      <c r="E175" s="1">
        <v>1</v>
      </c>
      <c r="F175" s="1">
        <v>1</v>
      </c>
      <c r="G175" s="1">
        <v>1</v>
      </c>
      <c r="H175" s="1">
        <v>0</v>
      </c>
      <c r="I175" s="1">
        <v>1</v>
      </c>
      <c r="J175" s="1">
        <v>1</v>
      </c>
      <c r="K175" s="1">
        <v>1</v>
      </c>
      <c r="L175" s="1">
        <v>0</v>
      </c>
      <c r="M175" s="1">
        <v>1</v>
      </c>
      <c r="N175" s="1">
        <v>1</v>
      </c>
      <c r="O175" s="1">
        <v>0</v>
      </c>
      <c r="P175" s="1">
        <v>0</v>
      </c>
      <c r="Q175" s="1">
        <v>1</v>
      </c>
      <c r="R175" s="1">
        <v>0</v>
      </c>
      <c r="S175" s="1">
        <v>1</v>
      </c>
      <c r="T175" s="1">
        <v>0</v>
      </c>
      <c r="U175" s="1">
        <v>1</v>
      </c>
      <c r="V175" s="1">
        <v>1</v>
      </c>
      <c r="W175" s="1">
        <v>0</v>
      </c>
      <c r="X175" s="1">
        <v>1</v>
      </c>
      <c r="Y175" s="1">
        <v>1</v>
      </c>
      <c r="Z175" s="1">
        <v>1</v>
      </c>
      <c r="AA175" s="22">
        <f t="shared" si="35"/>
        <v>9</v>
      </c>
      <c r="AB175" s="1">
        <f t="shared" si="36"/>
        <v>4</v>
      </c>
      <c r="AC175" s="1">
        <f t="shared" si="37"/>
        <v>4</v>
      </c>
      <c r="AD175" s="22">
        <f t="shared" si="38"/>
        <v>17</v>
      </c>
      <c r="AE175" s="22">
        <f t="shared" si="39"/>
        <v>68</v>
      </c>
      <c r="AF175" t="str">
        <f t="shared" si="40"/>
        <v>Nivel de Autoestima Medio Alto</v>
      </c>
      <c r="AG175" s="1">
        <f t="shared" si="34"/>
        <v>3</v>
      </c>
    </row>
    <row r="176" spans="1:33" x14ac:dyDescent="0.25">
      <c r="A176" t="s">
        <v>190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</v>
      </c>
      <c r="S176" s="1">
        <v>1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22">
        <f t="shared" si="35"/>
        <v>1</v>
      </c>
      <c r="AB176" s="1">
        <f t="shared" si="36"/>
        <v>1</v>
      </c>
      <c r="AC176" s="1">
        <f t="shared" si="37"/>
        <v>0</v>
      </c>
      <c r="AD176" s="22">
        <f t="shared" si="38"/>
        <v>2</v>
      </c>
      <c r="AE176" s="22">
        <f t="shared" si="39"/>
        <v>8</v>
      </c>
      <c r="AF176" t="str">
        <f t="shared" si="40"/>
        <v>Nivel de Autoestima Bajo</v>
      </c>
      <c r="AG176" s="1">
        <f t="shared" si="34"/>
        <v>1</v>
      </c>
    </row>
    <row r="177" spans="1:33" x14ac:dyDescent="0.25">
      <c r="A177" t="s">
        <v>191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1</v>
      </c>
      <c r="U177" s="1">
        <v>0</v>
      </c>
      <c r="V177" s="1">
        <v>0</v>
      </c>
      <c r="W177" s="1">
        <v>1</v>
      </c>
      <c r="X177" s="1">
        <v>0</v>
      </c>
      <c r="Y177" s="1">
        <v>0</v>
      </c>
      <c r="Z177" s="1">
        <v>0</v>
      </c>
      <c r="AA177" s="22">
        <f t="shared" si="35"/>
        <v>1</v>
      </c>
      <c r="AB177" s="1">
        <f t="shared" si="36"/>
        <v>0</v>
      </c>
      <c r="AC177" s="1">
        <f t="shared" si="37"/>
        <v>2</v>
      </c>
      <c r="AD177" s="22">
        <f t="shared" si="38"/>
        <v>3</v>
      </c>
      <c r="AE177" s="22">
        <f t="shared" si="39"/>
        <v>12</v>
      </c>
      <c r="AF177" t="str">
        <f t="shared" si="40"/>
        <v>Nivel de Autoestima Bajo</v>
      </c>
      <c r="AG177" s="1">
        <f t="shared" si="34"/>
        <v>1</v>
      </c>
    </row>
    <row r="178" spans="1:33" x14ac:dyDescent="0.25">
      <c r="A178" t="s">
        <v>192</v>
      </c>
      <c r="B178" s="1">
        <v>1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22">
        <f t="shared" si="35"/>
        <v>1</v>
      </c>
      <c r="AB178" s="1">
        <f t="shared" si="36"/>
        <v>1</v>
      </c>
      <c r="AC178" s="1">
        <f t="shared" si="37"/>
        <v>1</v>
      </c>
      <c r="AD178" s="22">
        <f t="shared" si="38"/>
        <v>3</v>
      </c>
      <c r="AE178" s="22">
        <f t="shared" si="39"/>
        <v>12</v>
      </c>
      <c r="AF178" t="str">
        <f t="shared" si="40"/>
        <v>Nivel de Autoestima Bajo</v>
      </c>
      <c r="AG178" s="1">
        <f t="shared" si="34"/>
        <v>1</v>
      </c>
    </row>
    <row r="179" spans="1:33" x14ac:dyDescent="0.25">
      <c r="A179" t="s">
        <v>193</v>
      </c>
      <c r="B179" s="1">
        <v>1</v>
      </c>
      <c r="C179" s="1">
        <v>0</v>
      </c>
      <c r="D179" s="1">
        <v>1</v>
      </c>
      <c r="E179" s="1">
        <v>0</v>
      </c>
      <c r="F179" s="1">
        <v>0</v>
      </c>
      <c r="G179" s="1">
        <v>0</v>
      </c>
      <c r="H179" s="1">
        <v>1</v>
      </c>
      <c r="I179" s="1">
        <v>1</v>
      </c>
      <c r="J179" s="1">
        <v>0</v>
      </c>
      <c r="K179" s="1">
        <v>1</v>
      </c>
      <c r="L179" s="1">
        <v>1</v>
      </c>
      <c r="M179" s="1">
        <v>1</v>
      </c>
      <c r="N179" s="1">
        <v>0</v>
      </c>
      <c r="O179" s="1">
        <v>0</v>
      </c>
      <c r="P179" s="1">
        <v>1</v>
      </c>
      <c r="Q179" s="1">
        <v>0</v>
      </c>
      <c r="R179" s="1">
        <v>0</v>
      </c>
      <c r="S179" s="1">
        <v>1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1</v>
      </c>
      <c r="Z179" s="1">
        <v>1</v>
      </c>
      <c r="AA179" s="22">
        <f t="shared" si="35"/>
        <v>9</v>
      </c>
      <c r="AB179" s="1">
        <f t="shared" si="36"/>
        <v>1</v>
      </c>
      <c r="AC179" s="1">
        <f t="shared" si="37"/>
        <v>1</v>
      </c>
      <c r="AD179" s="22">
        <f t="shared" si="38"/>
        <v>11</v>
      </c>
      <c r="AE179" s="22">
        <f t="shared" si="39"/>
        <v>44</v>
      </c>
      <c r="AF179" t="str">
        <f t="shared" si="40"/>
        <v>Nivel de Autoestima Medio Bajo</v>
      </c>
      <c r="AG179" s="1">
        <f t="shared" si="34"/>
        <v>2</v>
      </c>
    </row>
    <row r="180" spans="1:33" x14ac:dyDescent="0.25">
      <c r="A180" t="s">
        <v>194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0</v>
      </c>
      <c r="O180" s="1">
        <v>0</v>
      </c>
      <c r="P180" s="1">
        <v>0</v>
      </c>
      <c r="Q180" s="1">
        <v>1</v>
      </c>
      <c r="R180" s="1">
        <v>1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1</v>
      </c>
      <c r="AA180" s="22">
        <f t="shared" si="35"/>
        <v>3</v>
      </c>
      <c r="AB180" s="1">
        <f t="shared" si="36"/>
        <v>1</v>
      </c>
      <c r="AC180" s="1">
        <f t="shared" si="37"/>
        <v>1</v>
      </c>
      <c r="AD180" s="22">
        <f t="shared" si="38"/>
        <v>5</v>
      </c>
      <c r="AE180" s="22">
        <f t="shared" si="39"/>
        <v>20</v>
      </c>
      <c r="AF180" t="str">
        <f t="shared" si="40"/>
        <v>Nivel de Autoestima Bajo</v>
      </c>
      <c r="AG180" s="1">
        <f t="shared" si="34"/>
        <v>1</v>
      </c>
    </row>
    <row r="181" spans="1:33" x14ac:dyDescent="0.25">
      <c r="A181" t="s">
        <v>195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1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22">
        <f t="shared" si="35"/>
        <v>1</v>
      </c>
      <c r="AB181" s="1">
        <f t="shared" si="36"/>
        <v>1</v>
      </c>
      <c r="AC181" s="1">
        <f t="shared" si="37"/>
        <v>0</v>
      </c>
      <c r="AD181" s="22">
        <f t="shared" si="38"/>
        <v>2</v>
      </c>
      <c r="AE181" s="22">
        <f t="shared" si="39"/>
        <v>8</v>
      </c>
      <c r="AF181" t="str">
        <f t="shared" si="40"/>
        <v>Nivel de Autoestima Bajo</v>
      </c>
      <c r="AG181" s="1">
        <f t="shared" si="34"/>
        <v>1</v>
      </c>
    </row>
    <row r="182" spans="1:33" x14ac:dyDescent="0.25">
      <c r="A182" t="s">
        <v>196</v>
      </c>
      <c r="B182" s="1">
        <v>0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1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1</v>
      </c>
      <c r="X182" s="1">
        <v>0</v>
      </c>
      <c r="Y182" s="1">
        <v>0</v>
      </c>
      <c r="Z182" s="1">
        <v>0</v>
      </c>
      <c r="AA182" s="22">
        <f t="shared" si="35"/>
        <v>1</v>
      </c>
      <c r="AB182" s="1">
        <f t="shared" si="36"/>
        <v>1</v>
      </c>
      <c r="AC182" s="1">
        <f t="shared" si="37"/>
        <v>1</v>
      </c>
      <c r="AD182" s="22">
        <f t="shared" si="38"/>
        <v>3</v>
      </c>
      <c r="AE182" s="22">
        <f t="shared" si="39"/>
        <v>12</v>
      </c>
      <c r="AF182" t="str">
        <f t="shared" si="40"/>
        <v>Nivel de Autoestima Bajo</v>
      </c>
      <c r="AG182" s="1">
        <f t="shared" si="34"/>
        <v>1</v>
      </c>
    </row>
    <row r="183" spans="1:33" x14ac:dyDescent="0.25">
      <c r="A183" t="s">
        <v>197</v>
      </c>
      <c r="B183" s="1">
        <v>1</v>
      </c>
      <c r="C183" s="1">
        <v>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1</v>
      </c>
      <c r="M183" s="1">
        <v>0</v>
      </c>
      <c r="N183" s="1">
        <v>0</v>
      </c>
      <c r="O183" s="1">
        <v>1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1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22">
        <f t="shared" si="35"/>
        <v>1</v>
      </c>
      <c r="AB183" s="1">
        <f t="shared" si="36"/>
        <v>2</v>
      </c>
      <c r="AC183" s="1">
        <f t="shared" si="37"/>
        <v>2</v>
      </c>
      <c r="AD183" s="22">
        <f t="shared" si="38"/>
        <v>5</v>
      </c>
      <c r="AE183" s="22">
        <f t="shared" si="39"/>
        <v>20</v>
      </c>
      <c r="AF183" t="str">
        <f t="shared" si="40"/>
        <v>Nivel de Autoestima Bajo</v>
      </c>
      <c r="AG183" s="1">
        <f t="shared" si="34"/>
        <v>1</v>
      </c>
    </row>
    <row r="184" spans="1:33" x14ac:dyDescent="0.25">
      <c r="A184" t="s">
        <v>198</v>
      </c>
      <c r="B184" s="1">
        <v>1</v>
      </c>
      <c r="C184" s="1">
        <v>0</v>
      </c>
      <c r="D184" s="1">
        <v>1</v>
      </c>
      <c r="E184" s="1">
        <v>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1</v>
      </c>
      <c r="L184" s="1">
        <v>1</v>
      </c>
      <c r="M184" s="1">
        <v>1</v>
      </c>
      <c r="N184" s="1">
        <v>0</v>
      </c>
      <c r="O184" s="1">
        <v>1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1</v>
      </c>
      <c r="X184" s="1">
        <v>0</v>
      </c>
      <c r="Y184" s="1">
        <v>1</v>
      </c>
      <c r="Z184" s="1">
        <v>0</v>
      </c>
      <c r="AA184" s="22">
        <f t="shared" si="35"/>
        <v>6</v>
      </c>
      <c r="AB184" s="1">
        <f t="shared" si="36"/>
        <v>1</v>
      </c>
      <c r="AC184" s="1">
        <f t="shared" si="37"/>
        <v>2</v>
      </c>
      <c r="AD184" s="22">
        <f t="shared" si="38"/>
        <v>9</v>
      </c>
      <c r="AE184" s="22">
        <f t="shared" si="39"/>
        <v>36</v>
      </c>
      <c r="AF184" t="str">
        <f t="shared" si="40"/>
        <v>Nivel de Autoestima Medio Bajo</v>
      </c>
      <c r="AG184" s="1">
        <f t="shared" si="34"/>
        <v>2</v>
      </c>
    </row>
    <row r="185" spans="1:33" x14ac:dyDescent="0.25">
      <c r="W185" s="1"/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AT</vt:lpstr>
      <vt:lpstr>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Usuario</cp:lastModifiedBy>
  <dcterms:created xsi:type="dcterms:W3CDTF">2024-10-03T16:12:44Z</dcterms:created>
  <dcterms:modified xsi:type="dcterms:W3CDTF">2024-10-07T17:56:54Z</dcterms:modified>
</cp:coreProperties>
</file>